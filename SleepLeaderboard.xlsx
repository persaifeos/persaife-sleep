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LOG" sheetId="1" state="visible" r:id="rId3"/>
    <sheet name="🏆 LEADERBOARD" sheetId="2" state="visible" r:id="rId4"/>
    <sheet name="📐 SCORING" sheetId="3" state="visible" r:id="rId5"/>
    <sheet name="⚙️ SETU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<sst xmlns="http://schemas.openxmlformats.org/spreadsheetml/2006/main" count="69" uniqueCount="65">
  <si>
    <t xml:space="preserve">SLEEP LEADERBOARD  ·  Life OS</t>
  </si>
  <si>
    <t xml:space="preserve">Date</t>
  </si>
  <si>
    <t xml:space="preserve">Player</t>
  </si>
  <si>
    <t xml:space="preserve">Bedtime</t>
  </si>
  <si>
    <t xml:space="preserve">Wake Time</t>
  </si>
  <si>
    <t xml:space="preserve">Total
Hours</t>
  </si>
  <si>
    <t xml:space="preserve">Deep
% (HRV)</t>
  </si>
  <si>
    <t xml:space="preserve">REM
%</t>
  </si>
  <si>
    <t xml:space="preserve">Core
%</t>
  </si>
  <si>
    <t xml:space="preserve">Awake
%</t>
  </si>
  <si>
    <t xml:space="preserve">Watch
Worn?</t>
  </si>
  <si>
    <t xml:space="preserve">Streak
(days)</t>
  </si>
  <si>
    <t xml:space="preserve">SCORE</t>
  </si>
  <si>
    <t xml:space="preserve">2026-04-24</t>
  </si>
  <si>
    <t xml:space="preserve">Joey</t>
  </si>
  <si>
    <t xml:space="preserve">23:15</t>
  </si>
  <si>
    <t xml:space="preserve">07:10</t>
  </si>
  <si>
    <t xml:space="preserve">yes</t>
  </si>
  <si>
    <t xml:space="preserve">2026-04-23</t>
  </si>
  <si>
    <t xml:space="preserve">Dad</t>
  </si>
  <si>
    <t xml:space="preserve">22:45</t>
  </si>
  <si>
    <t xml:space="preserve">06:30</t>
  </si>
  <si>
    <t xml:space="preserve">🏆  WEEKLY LEADERBOARD</t>
  </si>
  <si>
    <t xml:space="preserve">Avg Score</t>
  </si>
  <si>
    <t xml:space="preserve">Best Score</t>
  </si>
  <si>
    <t xml:space="preserve">Worst Score</t>
  </si>
  <si>
    <t xml:space="preserve">Nights Logged</t>
  </si>
  <si>
    <t xml:space="preserve">Avg Deep %</t>
  </si>
  <si>
    <t xml:space="preserve">Avg REM %</t>
  </si>
  <si>
    <t xml:space="preserve">SCORING RUBRIC  ·  Sleep Leaderboard</t>
  </si>
  <si>
    <t xml:space="preserve">DIMENSION</t>
  </si>
  <si>
    <t xml:space="preserve">MAX PTS</t>
  </si>
  <si>
    <t xml:space="preserve">FORMULA / LOGIC</t>
  </si>
  <si>
    <t xml:space="preserve">Total Duration</t>
  </si>
  <si>
    <t xml:space="preserve">Peak at 7.5h · -5 pts per 30min deviation</t>
  </si>
  <si>
    <t xml:space="preserve">Deep Sleep %</t>
  </si>
  <si>
    <t xml:space="preserve">Peak at 20% · -2 pts per 1% off target</t>
  </si>
  <si>
    <t xml:space="preserve">REM Sleep %</t>
  </si>
  <si>
    <t xml:space="preserve">Peak at 22% · -1.5 pts per 1% off target</t>
  </si>
  <si>
    <t xml:space="preserve">Core Sleep %</t>
  </si>
  <si>
    <t xml:space="preserve">Peak at 52% · mild penalty outside range</t>
  </si>
  <si>
    <t xml:space="preserve">Awake %</t>
  </si>
  <si>
    <t xml:space="preserve">10 pts if &lt;5% awake · -2 per 1% over</t>
  </si>
  <si>
    <t xml:space="preserve">Watch Worn</t>
  </si>
  <si>
    <t xml:space="preserve">yes=10  manual=5  no data=0</t>
  </si>
  <si>
    <t xml:space="preserve">Streak Bonus</t>
  </si>
  <si>
    <t xml:space="preserve">+0.5 per consecutive night · max 5</t>
  </si>
  <si>
    <t xml:space="preserve">TOTAL</t>
  </si>
  <si>
    <t xml:space="preserve">SETUP GUIDE  ·  Google Sheets + Apple Shortcut</t>
  </si>
  <si>
    <t xml:space="preserve">1</t>
  </si>
  <si>
    <t xml:space="preserve">Upload this file to Google Drive → File → Save as Google Sheets</t>
  </si>
  <si>
    <t xml:space="preserve">2</t>
  </si>
  <si>
    <t xml:space="preserve">Share the sheet with Dad: Share button → add his email → Editor access</t>
  </si>
  <si>
    <t xml:space="preserve">3</t>
  </si>
  <si>
    <t xml:space="preserve">Go to Extensions → Apps Script → paste the webhook script (see Claude artifact)</t>
  </si>
  <si>
    <t xml:space="preserve">4</t>
  </si>
  <si>
    <t xml:space="preserve">Deploy Apps Script as Web App → Anyone can access → copy Web App URL</t>
  </si>
  <si>
    <t xml:space="preserve">5</t>
  </si>
  <si>
    <t xml:space="preserve">Paste the Web App URL into your Apple Shortcut (Step 6 in shortcut tree)</t>
  </si>
  <si>
    <t xml:space="preserve">6</t>
  </si>
  <si>
    <t xml:space="preserve">Run the Shortcut once manually to authorize the connection</t>
  </si>
  <si>
    <t xml:space="preserve">7</t>
  </si>
  <si>
    <t xml:space="preserve">Set the Shortcut as a Wake Up automation (Health app → Sleep → Edit → Add Shortcut)</t>
  </si>
  <si>
    <t xml:space="preserve">8</t>
  </si>
  <si>
    <t xml:space="preserve">Done — every morning, sleep data auto-logs to 📋 LOG tab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</si>
</sst>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F5A0"/>
      <name val="Arial"/>
      <family val="0"/>
      <charset val="1"/>
    </font>
    <font>
      <b val="true"/>
      <sz val="9"/>
      <color rgb="FFE8E8F0"/>
      <name val="Arial"/>
      <family val="0"/>
      <charset val="1"/>
    </font>
    <font>
      <sz val="10"/>
      <color rgb="FFE8E8F0"/>
      <name val="Arial"/>
      <family val="0"/>
      <charset val="1"/>
    </font>
    <font>
      <b val="true"/>
      <sz val="15"/>
      <color rgb="FFFFD700"/>
      <name val="Arial"/>
      <family val="0"/>
      <charset val="1"/>
    </font>
    <font>
      <b val="true"/>
      <sz val="10"/>
      <color rgb="FFE8E8F0"/>
      <name val="Arial"/>
      <family val="0"/>
      <charset val="1"/>
    </font>
    <font>
      <b val="true"/>
      <sz val="12"/>
      <color rgb="FF00F5A0"/>
      <name val="Arial"/>
      <family val="0"/>
      <charset val="1"/>
    </font>
    <font>
      <sz val="11"/>
      <color rgb="FFE8E8F0"/>
      <name val="Arial"/>
      <family val="0"/>
      <charset val="1"/>
    </font>
    <font>
      <b val="true"/>
      <sz val="12"/>
      <color rgb="FFFFD700"/>
      <name val="Arial"/>
      <family val="0"/>
      <charset val="1"/>
    </font>
    <font>
      <b val="true"/>
      <sz val="13"/>
      <color rgb="FF00F5A0"/>
      <name val="Arial"/>
      <family val="0"/>
      <charset val="1"/>
    </font>
    <font>
      <b val="true"/>
      <sz val="10"/>
      <color rgb="FF00F5A0"/>
      <name val="Arial"/>
      <family val="0"/>
      <charset val="1"/>
    </font>
    <font>
      <b val="true"/>
      <sz val="13"/>
      <color rgb="FFFF9D4D"/>
      <name val="Arial"/>
      <family val="0"/>
      <charset val="1"/>
    </font>
    <font>
      <b val="true"/>
      <sz val="11"/>
      <color rgb="FF00F5A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0F1A"/>
        <bgColor rgb="FF11111C"/>
      </patternFill>
    </fill>
    <fill>
      <patternFill patternType="solid">
        <fgColor rgb="FF11111C"/>
        <bgColor rgb="FF0F0F1A"/>
      </patternFill>
    </fill>
    <fill>
      <patternFill patternType="solid">
        <fgColor rgb="FF0A0A0F"/>
        <bgColor rgb="FF0F0F1A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00F5A0"/>
      </bottom>
      <diagonal/>
    </border>
    <border diagonalUp="false" diagonalDown="false">
      <left/>
      <right/>
      <top/>
      <bottom style="thin">
        <color rgb="FFFFD700"/>
      </bottom>
      <diagonal/>
    </border>
    <border diagonalUp="false" diagonalDown="false">
      <left/>
      <right/>
      <top/>
      <bottom style="thin">
        <color rgb="FF1E1E2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F0"/>
      <rgbColor rgb="FFFF0000"/>
      <rgbColor rgb="FF00FF00"/>
      <rgbColor rgb="FF0000FF"/>
      <rgbColor rgb="FFFFFF00"/>
      <rgbColor rgb="FFFF00FF"/>
      <rgbColor rgb="FF00F5A0"/>
      <rgbColor rgb="FF800000"/>
      <rgbColor rgb="FF008000"/>
      <rgbColor rgb="FF0A0A0F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D4D"/>
      <rgbColor rgb="FFFF6600"/>
      <rgbColor rgb="FF555566"/>
      <rgbColor rgb="FF969696"/>
      <rgbColor rgb="FF003366"/>
      <rgbColor rgb="FF339966"/>
      <rgbColor rgb="FF11111C"/>
      <rgbColor rgb="FF0F0F1A"/>
      <rgbColor rgb="FF993300"/>
      <rgbColor rgb="FF993366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5A0"/>
    <pageSetUpPr fitToPage="false"/>
  </sheetPr>
  <dimension ref="A1:L2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1" min="2" style="0" width="10"/>
    <col collapsed="false" customWidth="true" hidden="false" outlineLevel="0" max="12" min="12" style="0" width="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" hidden="false" customHeight="fals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3" t="n">
        <f aca="false">IF(AND(C3&lt;&gt;"",D3&lt;&gt;""),IF(TIMEVALUE(D3)&gt;TIMEVALUE(C3),(TIMEVALUE(D3)-TIMEVALUE(C3))*24,(1-TIMEVALUE(C3)+TIMEVALUE(D3))*24),"")</f>
        <v>7.91666666666667</v>
      </c>
      <c r="F3" s="3" t="n">
        <v>21</v>
      </c>
      <c r="G3" s="3" t="n">
        <v>23</v>
      </c>
      <c r="H3" s="3" t="n">
        <v>51</v>
      </c>
      <c r="I3" s="3" t="n">
        <v>5</v>
      </c>
      <c r="J3" s="3" t="s">
        <v>17</v>
      </c>
      <c r="K3" s="3" t="n">
        <v>3</v>
      </c>
      <c r="L3" s="4" t="n">
        <f aca="false">IF(B3="","",ROUND(MAX(0,30-ABS(E3-7.5)*10)+MAX(0,20-ABS(F3-20)*2)+MAX(0,15-ABS(G3-22)*1.5)+MAX(0,10-ABS(H3-52)/2)+IF(I3="","",MAX(0,10-MAX(0,I3-5)*2))+IF(J3="yes",10,IF(J3="manual",5,0))+MIN(5,K3*0.5),0))</f>
        <v>88</v>
      </c>
    </row>
    <row r="4" customFormat="false" ht="15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n">
        <f aca="false">IF(AND(C4&lt;&gt;"",D4&lt;&gt;""),IF(TIMEVALUE(D4)&gt;TIMEVALUE(C4),(TIMEVALUE(D4)-TIMEVALUE(C4))*24,(1-TIMEVALUE(C4)+TIMEVALUE(D4))*24),"")</f>
        <v>7.75</v>
      </c>
      <c r="F4" s="5" t="n">
        <v>18</v>
      </c>
      <c r="G4" s="5" t="n">
        <v>20</v>
      </c>
      <c r="H4" s="5" t="n">
        <v>55</v>
      </c>
      <c r="I4" s="5" t="n">
        <v>7</v>
      </c>
      <c r="J4" s="5" t="s">
        <v>17</v>
      </c>
      <c r="K4" s="5" t="n">
        <v>2</v>
      </c>
      <c r="L4" s="6" t="n">
        <f aca="false">IF(B4="","",ROUND(MAX(0,30-ABS(E4-7.5)*10)+MAX(0,20-ABS(F4-20)*2)+MAX(0,15-ABS(G4-22)*1.5)+MAX(0,10-ABS(H4-52)/2)+IF(I4="","",MAX(0,10-MAX(0,I4-5)*2))+IF(J4="yes",10,IF(J4="manual",5,0))+MIN(5,K4*0.5),0))</f>
        <v>81</v>
      </c>
    </row>
    <row r="5" customFormat="false" ht="15" hidden="false" customHeight="false" outlineLevel="0" collapsed="false">
      <c r="A5" s="7"/>
      <c r="B5" s="7"/>
      <c r="C5" s="7"/>
      <c r="D5" s="7"/>
      <c r="E5" s="7" t="str">
        <f aca="false">IF(AND(C5&lt;&gt;"",D5&lt;&gt;""),IF(TIMEVALUE(D5)&gt;TIMEVALUE(C5),(TIMEVALUE(D5)-TIMEVALUE(C5))*24,(1-TIMEVALUE(C5)+TIMEVALUE(D5))*24),"")</f>
        <v/>
      </c>
      <c r="F5" s="7"/>
      <c r="G5" s="7"/>
      <c r="H5" s="7"/>
      <c r="I5" s="7"/>
      <c r="J5" s="7"/>
      <c r="K5" s="7"/>
      <c r="L5" s="7" t="str">
        <f aca="false">IF(B5="","",ROUND(MAX(0,30-ABS(E5-7.5)*10)+MAX(0,20-ABS(F5-20)*2)+MAX(0,15-ABS(G5-22)*1.5)+MAX(0,10-ABS(H5-52)/2)+IF(I5="","",MAX(0,10-MAX(0,I5-5)*2))+IF(J5="yes",10,IF(J5="manual",5,0))+MIN(5,K5*0.5),0))</f>
        <v/>
      </c>
    </row>
    <row r="6" customFormat="false" ht="15" hidden="false" customHeight="false" outlineLevel="0" collapsed="false">
      <c r="A6" s="8"/>
      <c r="B6" s="8"/>
      <c r="C6" s="8"/>
      <c r="D6" s="8"/>
      <c r="E6" s="8" t="str">
        <f aca="false">IF(AND(C6&lt;&gt;"",D6&lt;&gt;""),IF(TIMEVALUE(D6)&gt;TIMEVALUE(C6),(TIMEVALUE(D6)-TIMEVALUE(C6))*24,(1-TIMEVALUE(C6)+TIMEVALUE(D6))*24),"")</f>
        <v/>
      </c>
      <c r="F6" s="8"/>
      <c r="G6" s="8"/>
      <c r="H6" s="8"/>
      <c r="I6" s="8"/>
      <c r="J6" s="8"/>
      <c r="K6" s="8"/>
      <c r="L6" s="8" t="str">
        <f aca="false">IF(B6="","",ROUND(MAX(0,30-ABS(E6-7.5)*10)+MAX(0,20-ABS(F6-20)*2)+MAX(0,15-ABS(G6-22)*1.5)+MAX(0,10-ABS(H6-52)/2)+IF(I6="","",MAX(0,10-MAX(0,I6-5)*2))+IF(J6="yes",10,IF(J6="manual",5,0))+MIN(5,K6*0.5),0))</f>
        <v/>
      </c>
    </row>
    <row r="7" customFormat="false" ht="15" hidden="false" customHeight="false" outlineLevel="0" collapsed="false">
      <c r="A7" s="7"/>
      <c r="B7" s="7"/>
      <c r="C7" s="7"/>
      <c r="D7" s="7"/>
      <c r="E7" s="7" t="str">
        <f aca="false">IF(AND(C7&lt;&gt;"",D7&lt;&gt;""),IF(TIMEVALUE(D7)&gt;TIMEVALUE(C7),(TIMEVALUE(D7)-TIMEVALUE(C7))*24,(1-TIMEVALUE(C7)+TIMEVALUE(D7))*24),"")</f>
        <v/>
      </c>
      <c r="F7" s="7"/>
      <c r="G7" s="7"/>
      <c r="H7" s="7"/>
      <c r="I7" s="7"/>
      <c r="J7" s="7"/>
      <c r="K7" s="7"/>
      <c r="L7" s="7" t="str">
        <f aca="false">IF(B7="","",ROUND(MAX(0,30-ABS(E7-7.5)*10)+MAX(0,20-ABS(F7-20)*2)+MAX(0,15-ABS(G7-22)*1.5)+MAX(0,10-ABS(H7-52)/2)+IF(I7="","",MAX(0,10-MAX(0,I7-5)*2))+IF(J7="yes",10,IF(J7="manual",5,0))+MIN(5,K7*0.5),0))</f>
        <v/>
      </c>
    </row>
    <row r="8" customFormat="false" ht="15" hidden="false" customHeight="false" outlineLevel="0" collapsed="false">
      <c r="A8" s="8"/>
      <c r="B8" s="8"/>
      <c r="C8" s="8"/>
      <c r="D8" s="8"/>
      <c r="E8" s="8" t="str">
        <f aca="false">IF(AND(C8&lt;&gt;"",D8&lt;&gt;""),IF(TIMEVALUE(D8)&gt;TIMEVALUE(C8),(TIMEVALUE(D8)-TIMEVALUE(C8))*24,(1-TIMEVALUE(C8)+TIMEVALUE(D8))*24),"")</f>
        <v/>
      </c>
      <c r="F8" s="8"/>
      <c r="G8" s="8"/>
      <c r="H8" s="8"/>
      <c r="I8" s="8"/>
      <c r="J8" s="8"/>
      <c r="K8" s="8"/>
      <c r="L8" s="8" t="str">
        <f aca="false">IF(B8="","",ROUND(MAX(0,30-ABS(E8-7.5)*10)+MAX(0,20-ABS(F8-20)*2)+MAX(0,15-ABS(G8-22)*1.5)+MAX(0,10-ABS(H8-52)/2)+IF(I8="","",MAX(0,10-MAX(0,I8-5)*2))+IF(J8="yes",10,IF(J8="manual",5,0))+MIN(5,K8*0.5),0))</f>
        <v/>
      </c>
    </row>
    <row r="9" customFormat="false" ht="15" hidden="false" customHeight="false" outlineLevel="0" collapsed="false">
      <c r="A9" s="7"/>
      <c r="B9" s="7"/>
      <c r="C9" s="7"/>
      <c r="D9" s="7"/>
      <c r="E9" s="7" t="str">
        <f aca="false">IF(AND(C9&lt;&gt;"",D9&lt;&gt;""),IF(TIMEVALUE(D9)&gt;TIMEVALUE(C9),(TIMEVALUE(D9)-TIMEVALUE(C9))*24,(1-TIMEVALUE(C9)+TIMEVALUE(D9))*24),"")</f>
        <v/>
      </c>
      <c r="F9" s="7"/>
      <c r="G9" s="7"/>
      <c r="H9" s="7"/>
      <c r="I9" s="7"/>
      <c r="J9" s="7"/>
      <c r="K9" s="7"/>
      <c r="L9" s="7" t="str">
        <f aca="false">IF(B9="","",ROUND(MAX(0,30-ABS(E9-7.5)*10)+MAX(0,20-ABS(F9-20)*2)+MAX(0,15-ABS(G9-22)*1.5)+MAX(0,10-ABS(H9-52)/2)+IF(I9="","",MAX(0,10-MAX(0,I9-5)*2))+IF(J9="yes",10,IF(J9="manual",5,0))+MIN(5,K9*0.5),0))</f>
        <v/>
      </c>
    </row>
    <row r="10" customFormat="false" ht="15" hidden="false" customHeight="false" outlineLevel="0" collapsed="false">
      <c r="A10" s="8"/>
      <c r="B10" s="8"/>
      <c r="C10" s="8"/>
      <c r="D10" s="8"/>
      <c r="E10" s="8" t="str">
        <f aca="false">IF(AND(C10&lt;&gt;"",D10&lt;&gt;""),IF(TIMEVALUE(D10)&gt;TIMEVALUE(C10),(TIMEVALUE(D10)-TIMEVALUE(C10))*24,(1-TIMEVALUE(C10)+TIMEVALUE(D10))*24),"")</f>
        <v/>
      </c>
      <c r="F10" s="8"/>
      <c r="G10" s="8"/>
      <c r="H10" s="8"/>
      <c r="I10" s="8"/>
      <c r="J10" s="8"/>
      <c r="K10" s="8"/>
      <c r="L10" s="8" t="str">
        <f aca="false">IF(B10="","",ROUND(MAX(0,30-ABS(E10-7.5)*10)+MAX(0,20-ABS(F10-20)*2)+MAX(0,15-ABS(G10-22)*1.5)+MAX(0,10-ABS(H10-52)/2)+IF(I10="","",MAX(0,10-MAX(0,I10-5)*2))+IF(J10="yes",10,IF(J10="manual",5,0))+MIN(5,K10*0.5),0))</f>
        <v/>
      </c>
    </row>
    <row r="11" customFormat="false" ht="15" hidden="false" customHeight="false" outlineLevel="0" collapsed="false">
      <c r="A11" s="7"/>
      <c r="B11" s="7"/>
      <c r="C11" s="7"/>
      <c r="D11" s="7"/>
      <c r="E11" s="7" t="str">
        <f aca="false">IF(AND(C11&lt;&gt;"",D11&lt;&gt;""),IF(TIMEVALUE(D11)&gt;TIMEVALUE(C11),(TIMEVALUE(D11)-TIMEVALUE(C11))*24,(1-TIMEVALUE(C11)+TIMEVALUE(D11))*24),"")</f>
        <v/>
      </c>
      <c r="F11" s="7"/>
      <c r="G11" s="7"/>
      <c r="H11" s="7"/>
      <c r="I11" s="7"/>
      <c r="J11" s="7"/>
      <c r="K11" s="7"/>
      <c r="L11" s="7" t="str">
        <f aca="false">IF(B11="","",ROUND(MAX(0,30-ABS(E11-7.5)*10)+MAX(0,20-ABS(F11-20)*2)+MAX(0,15-ABS(G11-22)*1.5)+MAX(0,10-ABS(H11-52)/2)+IF(I11="","",MAX(0,10-MAX(0,I11-5)*2))+IF(J11="yes",10,IF(J11="manual",5,0))+MIN(5,K11*0.5),0))</f>
        <v/>
      </c>
    </row>
    <row r="12" customFormat="false" ht="15" hidden="false" customHeight="false" outlineLevel="0" collapsed="false">
      <c r="A12" s="8"/>
      <c r="B12" s="8"/>
      <c r="C12" s="8"/>
      <c r="D12" s="8"/>
      <c r="E12" s="8" t="str">
        <f aca="false">IF(AND(C12&lt;&gt;"",D12&lt;&gt;""),IF(TIMEVALUE(D12)&gt;TIMEVALUE(C12),(TIMEVALUE(D12)-TIMEVALUE(C12))*24,(1-TIMEVALUE(C12)+TIMEVALUE(D12))*24),"")</f>
        <v/>
      </c>
      <c r="F12" s="8"/>
      <c r="G12" s="8"/>
      <c r="H12" s="8"/>
      <c r="I12" s="8"/>
      <c r="J12" s="8"/>
      <c r="K12" s="8"/>
      <c r="L12" s="8" t="str">
        <f aca="false">IF(B12="","",ROUND(MAX(0,30-ABS(E12-7.5)*10)+MAX(0,20-ABS(F12-20)*2)+MAX(0,15-ABS(G12-22)*1.5)+MAX(0,10-ABS(H12-52)/2)+IF(I12="","",MAX(0,10-MAX(0,I12-5)*2))+IF(J12="yes",10,IF(J12="manual",5,0))+MIN(5,K12*0.5),0))</f>
        <v/>
      </c>
    </row>
    <row r="13" customFormat="false" ht="15" hidden="false" customHeight="false" outlineLevel="0" collapsed="false">
      <c r="A13" s="7"/>
      <c r="B13" s="7"/>
      <c r="C13" s="7"/>
      <c r="D13" s="7"/>
      <c r="E13" s="7" t="str">
        <f aca="false">IF(AND(C13&lt;&gt;"",D13&lt;&gt;""),IF(TIMEVALUE(D13)&gt;TIMEVALUE(C13),(TIMEVALUE(D13)-TIMEVALUE(C13))*24,(1-TIMEVALUE(C13)+TIMEVALUE(D13))*24),"")</f>
        <v/>
      </c>
      <c r="F13" s="7"/>
      <c r="G13" s="7"/>
      <c r="H13" s="7"/>
      <c r="I13" s="7"/>
      <c r="J13" s="7"/>
      <c r="K13" s="7"/>
      <c r="L13" s="7" t="str">
        <f aca="false">IF(B13="","",ROUND(MAX(0,30-ABS(E13-7.5)*10)+MAX(0,20-ABS(F13-20)*2)+MAX(0,15-ABS(G13-22)*1.5)+MAX(0,10-ABS(H13-52)/2)+IF(I13="","",MAX(0,10-MAX(0,I13-5)*2))+IF(J13="yes",10,IF(J13="manual",5,0))+MIN(5,K13*0.5),0))</f>
        <v/>
      </c>
    </row>
    <row r="14" customFormat="false" ht="15" hidden="false" customHeight="false" outlineLevel="0" collapsed="false">
      <c r="A14" s="8"/>
      <c r="B14" s="8"/>
      <c r="C14" s="8"/>
      <c r="D14" s="8"/>
      <c r="E14" s="8" t="str">
        <f aca="false">IF(AND(C14&lt;&gt;"",D14&lt;&gt;""),IF(TIMEVALUE(D14)&gt;TIMEVALUE(C14),(TIMEVALUE(D14)-TIMEVALUE(C14))*24,(1-TIMEVALUE(C14)+TIMEVALUE(D14))*24),"")</f>
        <v/>
      </c>
      <c r="F14" s="8"/>
      <c r="G14" s="8"/>
      <c r="H14" s="8"/>
      <c r="I14" s="8"/>
      <c r="J14" s="8"/>
      <c r="K14" s="8"/>
      <c r="L14" s="8" t="str">
        <f aca="false">IF(B14="","",ROUND(MAX(0,30-ABS(E14-7.5)*10)+MAX(0,20-ABS(F14-20)*2)+MAX(0,15-ABS(G14-22)*1.5)+MAX(0,10-ABS(H14-52)/2)+IF(I14="","",MAX(0,10-MAX(0,I14-5)*2))+IF(J14="yes",10,IF(J14="manual",5,0))+MIN(5,K14*0.5),0))</f>
        <v/>
      </c>
    </row>
    <row r="15" customFormat="false" ht="15" hidden="false" customHeight="false" outlineLevel="0" collapsed="false">
      <c r="A15" s="7"/>
      <c r="B15" s="7"/>
      <c r="C15" s="7"/>
      <c r="D15" s="7"/>
      <c r="E15" s="7" t="str">
        <f aca="false">IF(AND(C15&lt;&gt;"",D15&lt;&gt;""),IF(TIMEVALUE(D15)&gt;TIMEVALUE(C15),(TIMEVALUE(D15)-TIMEVALUE(C15))*24,(1-TIMEVALUE(C15)+TIMEVALUE(D15))*24),"")</f>
        <v/>
      </c>
      <c r="F15" s="7"/>
      <c r="G15" s="7"/>
      <c r="H15" s="7"/>
      <c r="I15" s="7"/>
      <c r="J15" s="7"/>
      <c r="K15" s="7"/>
      <c r="L15" s="7" t="str">
        <f aca="false">IF(B15="","",ROUND(MAX(0,30-ABS(E15-7.5)*10)+MAX(0,20-ABS(F15-20)*2)+MAX(0,15-ABS(G15-22)*1.5)+MAX(0,10-ABS(H15-52)/2)+IF(I15="","",MAX(0,10-MAX(0,I15-5)*2))+IF(J15="yes",10,IF(J15="manual",5,0))+MIN(5,K15*0.5),0))</f>
        <v/>
      </c>
    </row>
    <row r="16" customFormat="false" ht="15" hidden="false" customHeight="false" outlineLevel="0" collapsed="false">
      <c r="A16" s="8"/>
      <c r="B16" s="8"/>
      <c r="C16" s="8"/>
      <c r="D16" s="8"/>
      <c r="E16" s="8" t="str">
        <f aca="false">IF(AND(C16&lt;&gt;"",D16&lt;&gt;""),IF(TIMEVALUE(D16)&gt;TIMEVALUE(C16),(TIMEVALUE(D16)-TIMEVALUE(C16))*24,(1-TIMEVALUE(C16)+TIMEVALUE(D16))*24),"")</f>
        <v/>
      </c>
      <c r="F16" s="8"/>
      <c r="G16" s="8"/>
      <c r="H16" s="8"/>
      <c r="I16" s="8"/>
      <c r="J16" s="8"/>
      <c r="K16" s="8"/>
      <c r="L16" s="8" t="str">
        <f aca="false">IF(B16="","",ROUND(MAX(0,30-ABS(E16-7.5)*10)+MAX(0,20-ABS(F16-20)*2)+MAX(0,15-ABS(G16-22)*1.5)+MAX(0,10-ABS(H16-52)/2)+IF(I16="","",MAX(0,10-MAX(0,I16-5)*2))+IF(J16="yes",10,IF(J16="manual",5,0))+MIN(5,K16*0.5),0))</f>
        <v/>
      </c>
    </row>
    <row r="17" customFormat="false" ht="15" hidden="false" customHeight="false" outlineLevel="0" collapsed="false">
      <c r="A17" s="7"/>
      <c r="B17" s="7"/>
      <c r="C17" s="7"/>
      <c r="D17" s="7"/>
      <c r="E17" s="7" t="str">
        <f aca="false">IF(AND(C17&lt;&gt;"",D17&lt;&gt;""),IF(TIMEVALUE(D17)&gt;TIMEVALUE(C17),(TIMEVALUE(D17)-TIMEVALUE(C17))*24,(1-TIMEVALUE(C17)+TIMEVALUE(D17))*24),"")</f>
        <v/>
      </c>
      <c r="F17" s="7"/>
      <c r="G17" s="7"/>
      <c r="H17" s="7"/>
      <c r="I17" s="7"/>
      <c r="J17" s="7"/>
      <c r="K17" s="7"/>
      <c r="L17" s="7" t="str">
        <f aca="false">IF(B17="","",ROUND(MAX(0,30-ABS(E17-7.5)*10)+MAX(0,20-ABS(F17-20)*2)+MAX(0,15-ABS(G17-22)*1.5)+MAX(0,10-ABS(H17-52)/2)+IF(I17="","",MAX(0,10-MAX(0,I17-5)*2))+IF(J17="yes",10,IF(J17="manual",5,0))+MIN(5,K17*0.5),0))</f>
        <v/>
      </c>
    </row>
    <row r="18" customFormat="false" ht="15" hidden="false" customHeight="false" outlineLevel="0" collapsed="false">
      <c r="A18" s="8"/>
      <c r="B18" s="8"/>
      <c r="C18" s="8"/>
      <c r="D18" s="8"/>
      <c r="E18" s="8" t="str">
        <f aca="false">IF(AND(C18&lt;&gt;"",D18&lt;&gt;""),IF(TIMEVALUE(D18)&gt;TIMEVALUE(C18),(TIMEVALUE(D18)-TIMEVALUE(C18))*24,(1-TIMEVALUE(C18)+TIMEVALUE(D18))*24),"")</f>
        <v/>
      </c>
      <c r="F18" s="8"/>
      <c r="G18" s="8"/>
      <c r="H18" s="8"/>
      <c r="I18" s="8"/>
      <c r="J18" s="8"/>
      <c r="K18" s="8"/>
      <c r="L18" s="8" t="str">
        <f aca="false">IF(B18="","",ROUND(MAX(0,30-ABS(E18-7.5)*10)+MAX(0,20-ABS(F18-20)*2)+MAX(0,15-ABS(G18-22)*1.5)+MAX(0,10-ABS(H18-52)/2)+IF(I18="","",MAX(0,10-MAX(0,I18-5)*2))+IF(J18="yes",10,IF(J18="manual",5,0))+MIN(5,K18*0.5),0))</f>
        <v/>
      </c>
    </row>
    <row r="19" customFormat="false" ht="15" hidden="false" customHeight="false" outlineLevel="0" collapsed="false">
      <c r="A19" s="7"/>
      <c r="B19" s="7"/>
      <c r="C19" s="7"/>
      <c r="D19" s="7"/>
      <c r="E19" s="7" t="str">
        <f aca="false">IF(AND(C19&lt;&gt;"",D19&lt;&gt;""),IF(TIMEVALUE(D19)&gt;TIMEVALUE(C19),(TIMEVALUE(D19)-TIMEVALUE(C19))*24,(1-TIMEVALUE(C19)+TIMEVALUE(D19))*24),"")</f>
        <v/>
      </c>
      <c r="F19" s="7"/>
      <c r="G19" s="7"/>
      <c r="H19" s="7"/>
      <c r="I19" s="7"/>
      <c r="J19" s="7"/>
      <c r="K19" s="7"/>
      <c r="L19" s="7" t="str">
        <f aca="false">IF(B19="","",ROUND(MAX(0,30-ABS(E19-7.5)*10)+MAX(0,20-ABS(F19-20)*2)+MAX(0,15-ABS(G19-22)*1.5)+MAX(0,10-ABS(H19-52)/2)+IF(I19="","",MAX(0,10-MAX(0,I19-5)*2))+IF(J19="yes",10,IF(J19="manual",5,0))+MIN(5,K19*0.5),0))</f>
        <v/>
      </c>
    </row>
    <row r="20" customFormat="false" ht="15" hidden="false" customHeight="false" outlineLevel="0" collapsed="false">
      <c r="A20" s="8"/>
      <c r="B20" s="8"/>
      <c r="C20" s="8"/>
      <c r="D20" s="8"/>
      <c r="E20" s="8" t="str">
        <f aca="false">IF(AND(C20&lt;&gt;"",D20&lt;&gt;""),IF(TIMEVALUE(D20)&gt;TIMEVALUE(C20),(TIMEVALUE(D20)-TIMEVALUE(C20))*24,(1-TIMEVALUE(C20)+TIMEVALUE(D20))*24),"")</f>
        <v/>
      </c>
      <c r="F20" s="8"/>
      <c r="G20" s="8"/>
      <c r="H20" s="8"/>
      <c r="I20" s="8"/>
      <c r="J20" s="8"/>
      <c r="K20" s="8"/>
      <c r="L20" s="8" t="str">
        <f aca="false">IF(B20="","",ROUND(MAX(0,30-ABS(E20-7.5)*10)+MAX(0,20-ABS(F20-20)*2)+MAX(0,15-ABS(G20-22)*1.5)+MAX(0,10-ABS(H20-52)/2)+IF(I20="","",MAX(0,10-MAX(0,I20-5)*2))+IF(J20="yes",10,IF(J20="manual",5,0))+MIN(5,K20*0.5),0))</f>
        <v/>
      </c>
    </row>
    <row r="21" customFormat="false" ht="15" hidden="false" customHeight="false" outlineLevel="0" collapsed="false">
      <c r="A21" s="7"/>
      <c r="B21" s="7"/>
      <c r="C21" s="7"/>
      <c r="D21" s="7"/>
      <c r="E21" s="7" t="str">
        <f aca="false">IF(AND(C21&lt;&gt;"",D21&lt;&gt;""),IF(TIMEVALUE(D21)&gt;TIMEVALUE(C21),(TIMEVALUE(D21)-TIMEVALUE(C21))*24,(1-TIMEVALUE(C21)+TIMEVALUE(D21))*24),"")</f>
        <v/>
      </c>
      <c r="F21" s="7"/>
      <c r="G21" s="7"/>
      <c r="H21" s="7"/>
      <c r="I21" s="7"/>
      <c r="J21" s="7"/>
      <c r="K21" s="7"/>
      <c r="L21" s="7" t="str">
        <f aca="false">IF(B21="","",ROUND(MAX(0,30-ABS(E21-7.5)*10)+MAX(0,20-ABS(F21-20)*2)+MAX(0,15-ABS(G21-22)*1.5)+MAX(0,10-ABS(H21-52)/2)+IF(I21="","",MAX(0,10-MAX(0,I21-5)*2))+IF(J21="yes",10,IF(J21="manual",5,0))+MIN(5,K21*0.5),0))</f>
        <v/>
      </c>
    </row>
    <row r="22" customFormat="false" ht="15" hidden="false" customHeight="false" outlineLevel="0" collapsed="false">
      <c r="A22" s="8"/>
      <c r="B22" s="8"/>
      <c r="C22" s="8"/>
      <c r="D22" s="8"/>
      <c r="E22" s="8" t="str">
        <f aca="false">IF(AND(C22&lt;&gt;"",D22&lt;&gt;""),IF(TIMEVALUE(D22)&gt;TIMEVALUE(C22),(TIMEVALUE(D22)-TIMEVALUE(C22))*24,(1-TIMEVALUE(C22)+TIMEVALUE(D22))*24),"")</f>
        <v/>
      </c>
      <c r="F22" s="8"/>
      <c r="G22" s="8"/>
      <c r="H22" s="8"/>
      <c r="I22" s="8"/>
      <c r="J22" s="8"/>
      <c r="K22" s="8"/>
      <c r="L22" s="8" t="str">
        <f aca="false">IF(B22="","",ROUND(MAX(0,30-ABS(E22-7.5)*10)+MAX(0,20-ABS(F22-20)*2)+MAX(0,15-ABS(G22-22)*1.5)+MAX(0,10-ABS(H22-52)/2)+IF(I22="","",MAX(0,10-MAX(0,I22-5)*2))+IF(J22="yes",10,IF(J22="manual",5,0))+MIN(5,K22*0.5),0))</f>
        <v/>
      </c>
    </row>
    <row r="23" customFormat="false" ht="15" hidden="false" customHeight="false" outlineLevel="0" collapsed="false">
      <c r="A23" s="7"/>
      <c r="B23" s="7"/>
      <c r="C23" s="7"/>
      <c r="D23" s="7"/>
      <c r="E23" s="7" t="str">
        <f aca="false">IF(AND(C23&lt;&gt;"",D23&lt;&gt;""),IF(TIMEVALUE(D23)&gt;TIMEVALUE(C23),(TIMEVALUE(D23)-TIMEVALUE(C23))*24,(1-TIMEVALUE(C23)+TIMEVALUE(D23))*24),"")</f>
        <v/>
      </c>
      <c r="F23" s="7"/>
      <c r="G23" s="7"/>
      <c r="H23" s="7"/>
      <c r="I23" s="7"/>
      <c r="J23" s="7"/>
      <c r="K23" s="7"/>
      <c r="L23" s="7" t="str">
        <f aca="false">IF(B23="","",ROUND(MAX(0,30-ABS(E23-7.5)*10)+MAX(0,20-ABS(F23-20)*2)+MAX(0,15-ABS(G23-22)*1.5)+MAX(0,10-ABS(H23-52)/2)+IF(I23="","",MAX(0,10-MAX(0,I23-5)*2))+IF(J23="yes",10,IF(J23="manual",5,0))+MIN(5,K23*0.5),0))</f>
        <v/>
      </c>
    </row>
    <row r="24" customFormat="false" ht="15" hidden="false" customHeight="false" outlineLevel="0" collapsed="false">
      <c r="A24" s="8"/>
      <c r="B24" s="8"/>
      <c r="C24" s="8"/>
      <c r="D24" s="8"/>
      <c r="E24" s="8" t="str">
        <f aca="false">IF(AND(C24&lt;&gt;"",D24&lt;&gt;""),IF(TIMEVALUE(D24)&gt;TIMEVALUE(C24),(TIMEVALUE(D24)-TIMEVALUE(C24))*24,(1-TIMEVALUE(C24)+TIMEVALUE(D24))*24),"")</f>
        <v/>
      </c>
      <c r="F24" s="8"/>
      <c r="G24" s="8"/>
      <c r="H24" s="8"/>
      <c r="I24" s="8"/>
      <c r="J24" s="8"/>
      <c r="K24" s="8"/>
      <c r="L24" s="8" t="str">
        <f aca="false">IF(B24="","",ROUND(MAX(0,30-ABS(E24-7.5)*10)+MAX(0,20-ABS(F24-20)*2)+MAX(0,15-ABS(G24-22)*1.5)+MAX(0,10-ABS(H24-52)/2)+IF(I24="","",MAX(0,10-MAX(0,I24-5)*2))+IF(J24="yes",10,IF(J24="manual",5,0))+MIN(5,K24*0.5),0))</f>
        <v/>
      </c>
    </row>
    <row r="25" customFormat="false" ht="15" hidden="false" customHeight="false" outlineLevel="0" collapsed="false">
      <c r="A25" s="7"/>
      <c r="B25" s="7"/>
      <c r="C25" s="7"/>
      <c r="D25" s="7"/>
      <c r="E25" s="7" t="str">
        <f aca="false">IF(AND(C25&lt;&gt;"",D25&lt;&gt;""),IF(TIMEVALUE(D25)&gt;TIMEVALUE(C25),(TIMEVALUE(D25)-TIMEVALUE(C25))*24,(1-TIMEVALUE(C25)+TIMEVALUE(D25))*24),"")</f>
        <v/>
      </c>
      <c r="F25" s="7"/>
      <c r="G25" s="7"/>
      <c r="H25" s="7"/>
      <c r="I25" s="7"/>
      <c r="J25" s="7"/>
      <c r="K25" s="7"/>
      <c r="L25" s="7" t="str">
        <f aca="false">IF(B25="","",ROUND(MAX(0,30-ABS(E25-7.5)*10)+MAX(0,20-ABS(F25-20)*2)+MAX(0,15-ABS(G25-22)*1.5)+MAX(0,10-ABS(H25-52)/2)+IF(I25="","",MAX(0,10-MAX(0,I25-5)*2))+IF(J25="yes",10,IF(J25="manual",5,0))+MIN(5,K25*0.5),0))</f>
        <v/>
      </c>
    </row>
    <row r="26" customFormat="false" ht="15" hidden="false" customHeight="false" outlineLevel="0" collapsed="false">
      <c r="A26" s="8"/>
      <c r="B26" s="8"/>
      <c r="C26" s="8"/>
      <c r="D26" s="8"/>
      <c r="E26" s="8" t="str">
        <f aca="false">IF(AND(C26&lt;&gt;"",D26&lt;&gt;""),IF(TIMEVALUE(D26)&gt;TIMEVALUE(C26),(TIMEVALUE(D26)-TIMEVALUE(C26))*24,(1-TIMEVALUE(C26)+TIMEVALUE(D26))*24),"")</f>
        <v/>
      </c>
      <c r="F26" s="8"/>
      <c r="G26" s="8"/>
      <c r="H26" s="8"/>
      <c r="I26" s="8"/>
      <c r="J26" s="8"/>
      <c r="K26" s="8"/>
      <c r="L26" s="8" t="str">
        <f aca="false">IF(B26="","",ROUND(MAX(0,30-ABS(E26-7.5)*10)+MAX(0,20-ABS(F26-20)*2)+MAX(0,15-ABS(G26-22)*1.5)+MAX(0,10-ABS(H26-52)/2)+IF(I26="","",MAX(0,10-MAX(0,I26-5)*2))+IF(J26="yes",10,IF(J26="manual",5,0))+MIN(5,K26*0.5),0))</f>
        <v/>
      </c>
    </row>
    <row r="27" customFormat="false" ht="15" hidden="false" customHeight="false" outlineLevel="0" collapsed="false">
      <c r="A27" s="7"/>
      <c r="B27" s="7"/>
      <c r="C27" s="7"/>
      <c r="D27" s="7"/>
      <c r="E27" s="7" t="str">
        <f aca="false">IF(AND(C27&lt;&gt;"",D27&lt;&gt;""),IF(TIMEVALUE(D27)&gt;TIMEVALUE(C27),(TIMEVALUE(D27)-TIMEVALUE(C27))*24,(1-TIMEVALUE(C27)+TIMEVALUE(D27))*24),"")</f>
        <v/>
      </c>
      <c r="F27" s="7"/>
      <c r="G27" s="7"/>
      <c r="H27" s="7"/>
      <c r="I27" s="7"/>
      <c r="J27" s="7"/>
      <c r="K27" s="7"/>
      <c r="L27" s="7" t="str">
        <f aca="false">IF(B27="","",ROUND(MAX(0,30-ABS(E27-7.5)*10)+MAX(0,20-ABS(F27-20)*2)+MAX(0,15-ABS(G27-22)*1.5)+MAX(0,10-ABS(H27-52)/2)+IF(I27="","",MAX(0,10-MAX(0,I27-5)*2))+IF(J27="yes",10,IF(J27="manual",5,0))+MIN(5,K27*0.5),0))</f>
        <v/>
      </c>
    </row>
    <row r="28" customFormat="false" ht="15" hidden="false" customHeight="false" outlineLevel="0" collapsed="false">
      <c r="A28" s="8"/>
      <c r="B28" s="8"/>
      <c r="C28" s="8"/>
      <c r="D28" s="8"/>
      <c r="E28" s="8" t="str">
        <f aca="false">IF(AND(C28&lt;&gt;"",D28&lt;&gt;""),IF(TIMEVALUE(D28)&gt;TIMEVALUE(C28),(TIMEVALUE(D28)-TIMEVALUE(C28))*24,(1-TIMEVALUE(C28)+TIMEVALUE(D28))*24),"")</f>
        <v/>
      </c>
      <c r="F28" s="8"/>
      <c r="G28" s="8"/>
      <c r="H28" s="8"/>
      <c r="I28" s="8"/>
      <c r="J28" s="8"/>
      <c r="K28" s="8"/>
      <c r="L28" s="8" t="str">
        <f aca="false">IF(B28="","",ROUND(MAX(0,30-ABS(E28-7.5)*10)+MAX(0,20-ABS(F28-20)*2)+MAX(0,15-ABS(G28-22)*1.5)+MAX(0,10-ABS(H28-52)/2)+IF(I28="","",MAX(0,10-MAX(0,I28-5)*2))+IF(J28="yes",10,IF(J28="manual",5,0))+MIN(5,K28*0.5),0))</f>
        <v/>
      </c>
    </row>
    <row r="29" customFormat="false" ht="15" hidden="false" customHeight="false" outlineLevel="0" collapsed="false">
      <c r="A29" s="7"/>
      <c r="B29" s="7"/>
      <c r="C29" s="7"/>
      <c r="D29" s="7"/>
      <c r="E29" s="7" t="str">
        <f aca="false">IF(AND(C29&lt;&gt;"",D29&lt;&gt;""),IF(TIMEVALUE(D29)&gt;TIMEVALUE(C29),(TIMEVALUE(D29)-TIMEVALUE(C29))*24,(1-TIMEVALUE(C29)+TIMEVALUE(D29))*24),"")</f>
        <v/>
      </c>
      <c r="F29" s="7"/>
      <c r="G29" s="7"/>
      <c r="H29" s="7"/>
      <c r="I29" s="7"/>
      <c r="J29" s="7"/>
      <c r="K29" s="7"/>
      <c r="L29" s="7" t="str">
        <f aca="false">IF(B29="","",ROUND(MAX(0,30-ABS(E29-7.5)*10)+MAX(0,20-ABS(F29-20)*2)+MAX(0,15-ABS(G29-22)*1.5)+MAX(0,10-ABS(H29-52)/2)+IF(I29="","",MAX(0,10-MAX(0,I29-5)*2))+IF(J29="yes",10,IF(J29="manual",5,0))+MIN(5,K29*0.5),0))</f>
        <v/>
      </c>
    </row>
    <row r="30" customFormat="false" ht="15" hidden="false" customHeight="false" outlineLevel="0" collapsed="false">
      <c r="A30" s="8"/>
      <c r="B30" s="8"/>
      <c r="C30" s="8"/>
      <c r="D30" s="8"/>
      <c r="E30" s="8" t="str">
        <f aca="false">IF(AND(C30&lt;&gt;"",D30&lt;&gt;""),IF(TIMEVALUE(D30)&gt;TIMEVALUE(C30),(TIMEVALUE(D30)-TIMEVALUE(C30))*24,(1-TIMEVALUE(C30)+TIMEVALUE(D30))*24),"")</f>
        <v/>
      </c>
      <c r="F30" s="8"/>
      <c r="G30" s="8"/>
      <c r="H30" s="8"/>
      <c r="I30" s="8"/>
      <c r="J30" s="8"/>
      <c r="K30" s="8"/>
      <c r="L30" s="8" t="str">
        <f aca="false">IF(B30="","",ROUND(MAX(0,30-ABS(E30-7.5)*10)+MAX(0,20-ABS(F30-20)*2)+MAX(0,15-ABS(G30-22)*1.5)+MAX(0,10-ABS(H30-52)/2)+IF(I30="","",MAX(0,10-MAX(0,I30-5)*2))+IF(J30="yes",10,IF(J30="manual",5,0))+MIN(5,K30*0.5),0))</f>
        <v/>
      </c>
    </row>
    <row r="31" customFormat="false" ht="15" hidden="false" customHeight="false" outlineLevel="0" collapsed="false">
      <c r="A31" s="7"/>
      <c r="B31" s="7"/>
      <c r="C31" s="7"/>
      <c r="D31" s="7"/>
      <c r="E31" s="7" t="str">
        <f aca="false">IF(AND(C31&lt;&gt;"",D31&lt;&gt;""),IF(TIMEVALUE(D31)&gt;TIMEVALUE(C31),(TIMEVALUE(D31)-TIMEVALUE(C31))*24,(1-TIMEVALUE(C31)+TIMEVALUE(D31))*24),"")</f>
        <v/>
      </c>
      <c r="F31" s="7"/>
      <c r="G31" s="7"/>
      <c r="H31" s="7"/>
      <c r="I31" s="7"/>
      <c r="J31" s="7"/>
      <c r="K31" s="7"/>
      <c r="L31" s="7" t="str">
        <f aca="false">IF(B31="","",ROUND(MAX(0,30-ABS(E31-7.5)*10)+MAX(0,20-ABS(F31-20)*2)+MAX(0,15-ABS(G31-22)*1.5)+MAX(0,10-ABS(H31-52)/2)+IF(I31="","",MAX(0,10-MAX(0,I31-5)*2))+IF(J31="yes",10,IF(J31="manual",5,0))+MIN(5,K31*0.5),0))</f>
        <v/>
      </c>
    </row>
    <row r="32" customFormat="false" ht="15" hidden="false" customHeight="false" outlineLevel="0" collapsed="false">
      <c r="A32" s="8"/>
      <c r="B32" s="8"/>
      <c r="C32" s="8"/>
      <c r="D32" s="8"/>
      <c r="E32" s="8" t="str">
        <f aca="false">IF(AND(C32&lt;&gt;"",D32&lt;&gt;""),IF(TIMEVALUE(D32)&gt;TIMEVALUE(C32),(TIMEVALUE(D32)-TIMEVALUE(C32))*24,(1-TIMEVALUE(C32)+TIMEVALUE(D32))*24),"")</f>
        <v/>
      </c>
      <c r="F32" s="8"/>
      <c r="G32" s="8"/>
      <c r="H32" s="8"/>
      <c r="I32" s="8"/>
      <c r="J32" s="8"/>
      <c r="K32" s="8"/>
      <c r="L32" s="8" t="str">
        <f aca="false">IF(B32="","",ROUND(MAX(0,30-ABS(E32-7.5)*10)+MAX(0,20-ABS(F32-20)*2)+MAX(0,15-ABS(G32-22)*1.5)+MAX(0,10-ABS(H32-52)/2)+IF(I32="","",MAX(0,10-MAX(0,I32-5)*2))+IF(J32="yes",10,IF(J32="manual",5,0))+MIN(5,K32*0.5),0))</f>
        <v/>
      </c>
    </row>
    <row r="33" customFormat="false" ht="15" hidden="false" customHeight="false" outlineLevel="0" collapsed="false">
      <c r="A33" s="7"/>
      <c r="B33" s="7"/>
      <c r="C33" s="7"/>
      <c r="D33" s="7"/>
      <c r="E33" s="7" t="str">
        <f aca="false">IF(AND(C33&lt;&gt;"",D33&lt;&gt;""),IF(TIMEVALUE(D33)&gt;TIMEVALUE(C33),(TIMEVALUE(D33)-TIMEVALUE(C33))*24,(1-TIMEVALUE(C33)+TIMEVALUE(D33))*24),"")</f>
        <v/>
      </c>
      <c r="F33" s="7"/>
      <c r="G33" s="7"/>
      <c r="H33" s="7"/>
      <c r="I33" s="7"/>
      <c r="J33" s="7"/>
      <c r="K33" s="7"/>
      <c r="L33" s="7" t="str">
        <f aca="false">IF(B33="","",ROUND(MAX(0,30-ABS(E33-7.5)*10)+MAX(0,20-ABS(F33-20)*2)+MAX(0,15-ABS(G33-22)*1.5)+MAX(0,10-ABS(H33-52)/2)+IF(I33="","",MAX(0,10-MAX(0,I33-5)*2))+IF(J33="yes",10,IF(J33="manual",5,0))+MIN(5,K33*0.5),0))</f>
        <v/>
      </c>
    </row>
    <row r="34" customFormat="false" ht="15" hidden="false" customHeight="false" outlineLevel="0" collapsed="false">
      <c r="A34" s="8"/>
      <c r="B34" s="8"/>
      <c r="C34" s="8"/>
      <c r="D34" s="8"/>
      <c r="E34" s="8" t="str">
        <f aca="false">IF(AND(C34&lt;&gt;"",D34&lt;&gt;""),IF(TIMEVALUE(D34)&gt;TIMEVALUE(C34),(TIMEVALUE(D34)-TIMEVALUE(C34))*24,(1-TIMEVALUE(C34)+TIMEVALUE(D34))*24),"")</f>
        <v/>
      </c>
      <c r="F34" s="8"/>
      <c r="G34" s="8"/>
      <c r="H34" s="8"/>
      <c r="I34" s="8"/>
      <c r="J34" s="8"/>
      <c r="K34" s="8"/>
      <c r="L34" s="8" t="str">
        <f aca="false">IF(B34="","",ROUND(MAX(0,30-ABS(E34-7.5)*10)+MAX(0,20-ABS(F34-20)*2)+MAX(0,15-ABS(G34-22)*1.5)+MAX(0,10-ABS(H34-52)/2)+IF(I34="","",MAX(0,10-MAX(0,I34-5)*2))+IF(J34="yes",10,IF(J34="manual",5,0))+MIN(5,K34*0.5),0))</f>
        <v/>
      </c>
    </row>
    <row r="35" customFormat="false" ht="15" hidden="false" customHeight="false" outlineLevel="0" collapsed="false">
      <c r="A35" s="7"/>
      <c r="B35" s="7"/>
      <c r="C35" s="7"/>
      <c r="D35" s="7"/>
      <c r="E35" s="7" t="str">
        <f aca="false">IF(AND(C35&lt;&gt;"",D35&lt;&gt;""),IF(TIMEVALUE(D35)&gt;TIMEVALUE(C35),(TIMEVALUE(D35)-TIMEVALUE(C35))*24,(1-TIMEVALUE(C35)+TIMEVALUE(D35))*24),"")</f>
        <v/>
      </c>
      <c r="F35" s="7"/>
      <c r="G35" s="7"/>
      <c r="H35" s="7"/>
      <c r="I35" s="7"/>
      <c r="J35" s="7"/>
      <c r="K35" s="7"/>
      <c r="L35" s="7" t="str">
        <f aca="false">IF(B35="","",ROUND(MAX(0,30-ABS(E35-7.5)*10)+MAX(0,20-ABS(F35-20)*2)+MAX(0,15-ABS(G35-22)*1.5)+MAX(0,10-ABS(H35-52)/2)+IF(I35="","",MAX(0,10-MAX(0,I35-5)*2))+IF(J35="yes",10,IF(J35="manual",5,0))+MIN(5,K35*0.5),0))</f>
        <v/>
      </c>
    </row>
    <row r="36" customFormat="false" ht="15" hidden="false" customHeight="false" outlineLevel="0" collapsed="false">
      <c r="A36" s="8"/>
      <c r="B36" s="8"/>
      <c r="C36" s="8"/>
      <c r="D36" s="8"/>
      <c r="E36" s="8" t="str">
        <f aca="false">IF(AND(C36&lt;&gt;"",D36&lt;&gt;""),IF(TIMEVALUE(D36)&gt;TIMEVALUE(C36),(TIMEVALUE(D36)-TIMEVALUE(C36))*24,(1-TIMEVALUE(C36)+TIMEVALUE(D36))*24),"")</f>
        <v/>
      </c>
      <c r="F36" s="8"/>
      <c r="G36" s="8"/>
      <c r="H36" s="8"/>
      <c r="I36" s="8"/>
      <c r="J36" s="8"/>
      <c r="K36" s="8"/>
      <c r="L36" s="8" t="str">
        <f aca="false">IF(B36="","",ROUND(MAX(0,30-ABS(E36-7.5)*10)+MAX(0,20-ABS(F36-20)*2)+MAX(0,15-ABS(G36-22)*1.5)+MAX(0,10-ABS(H36-52)/2)+IF(I36="","",MAX(0,10-MAX(0,I36-5)*2))+IF(J36="yes",10,IF(J36="manual",5,0))+MIN(5,K36*0.5),0))</f>
        <v/>
      </c>
    </row>
    <row r="37" customFormat="false" ht="15" hidden="false" customHeight="false" outlineLevel="0" collapsed="false">
      <c r="A37" s="7"/>
      <c r="B37" s="7"/>
      <c r="C37" s="7"/>
      <c r="D37" s="7"/>
      <c r="E37" s="7" t="str">
        <f aca="false">IF(AND(C37&lt;&gt;"",D37&lt;&gt;""),IF(TIMEVALUE(D37)&gt;TIMEVALUE(C37),(TIMEVALUE(D37)-TIMEVALUE(C37))*24,(1-TIMEVALUE(C37)+TIMEVALUE(D37))*24),"")</f>
        <v/>
      </c>
      <c r="F37" s="7"/>
      <c r="G37" s="7"/>
      <c r="H37" s="7"/>
      <c r="I37" s="7"/>
      <c r="J37" s="7"/>
      <c r="K37" s="7"/>
      <c r="L37" s="7" t="str">
        <f aca="false">IF(B37="","",ROUND(MAX(0,30-ABS(E37-7.5)*10)+MAX(0,20-ABS(F37-20)*2)+MAX(0,15-ABS(G37-22)*1.5)+MAX(0,10-ABS(H37-52)/2)+IF(I37="","",MAX(0,10-MAX(0,I37-5)*2))+IF(J37="yes",10,IF(J37="manual",5,0))+MIN(5,K37*0.5),0))</f>
        <v/>
      </c>
    </row>
    <row r="38" customFormat="false" ht="15" hidden="false" customHeight="false" outlineLevel="0" collapsed="false">
      <c r="A38" s="8"/>
      <c r="B38" s="8"/>
      <c r="C38" s="8"/>
      <c r="D38" s="8"/>
      <c r="E38" s="8" t="str">
        <f aca="false">IF(AND(C38&lt;&gt;"",D38&lt;&gt;""),IF(TIMEVALUE(D38)&gt;TIMEVALUE(C38),(TIMEVALUE(D38)-TIMEVALUE(C38))*24,(1-TIMEVALUE(C38)+TIMEVALUE(D38))*24),"")</f>
        <v/>
      </c>
      <c r="F38" s="8"/>
      <c r="G38" s="8"/>
      <c r="H38" s="8"/>
      <c r="I38" s="8"/>
      <c r="J38" s="8"/>
      <c r="K38" s="8"/>
      <c r="L38" s="8" t="str">
        <f aca="false">IF(B38="","",ROUND(MAX(0,30-ABS(E38-7.5)*10)+MAX(0,20-ABS(F38-20)*2)+MAX(0,15-ABS(G38-22)*1.5)+MAX(0,10-ABS(H38-52)/2)+IF(I38="","",MAX(0,10-MAX(0,I38-5)*2))+IF(J38="yes",10,IF(J38="manual",5,0))+MIN(5,K38*0.5),0))</f>
        <v/>
      </c>
    </row>
    <row r="39" customFormat="false" ht="15" hidden="false" customHeight="false" outlineLevel="0" collapsed="false">
      <c r="A39" s="7"/>
      <c r="B39" s="7"/>
      <c r="C39" s="7"/>
      <c r="D39" s="7"/>
      <c r="E39" s="7" t="str">
        <f aca="false">IF(AND(C39&lt;&gt;"",D39&lt;&gt;""),IF(TIMEVALUE(D39)&gt;TIMEVALUE(C39),(TIMEVALUE(D39)-TIMEVALUE(C39))*24,(1-TIMEVALUE(C39)+TIMEVALUE(D39))*24),"")</f>
        <v/>
      </c>
      <c r="F39" s="7"/>
      <c r="G39" s="7"/>
      <c r="H39" s="7"/>
      <c r="I39" s="7"/>
      <c r="J39" s="7"/>
      <c r="K39" s="7"/>
      <c r="L39" s="7" t="str">
        <f aca="false">IF(B39="","",ROUND(MAX(0,30-ABS(E39-7.5)*10)+MAX(0,20-ABS(F39-20)*2)+MAX(0,15-ABS(G39-22)*1.5)+MAX(0,10-ABS(H39-52)/2)+IF(I39="","",MAX(0,10-MAX(0,I39-5)*2))+IF(J39="yes",10,IF(J39="manual",5,0))+MIN(5,K39*0.5),0))</f>
        <v/>
      </c>
    </row>
    <row r="40" customFormat="false" ht="15" hidden="false" customHeight="false" outlineLevel="0" collapsed="false">
      <c r="A40" s="8"/>
      <c r="B40" s="8"/>
      <c r="C40" s="8"/>
      <c r="D40" s="8"/>
      <c r="E40" s="8" t="str">
        <f aca="false">IF(AND(C40&lt;&gt;"",D40&lt;&gt;""),IF(TIMEVALUE(D40)&gt;TIMEVALUE(C40),(TIMEVALUE(D40)-TIMEVALUE(C40))*24,(1-TIMEVALUE(C40)+TIMEVALUE(D40))*24),"")</f>
        <v/>
      </c>
      <c r="F40" s="8"/>
      <c r="G40" s="8"/>
      <c r="H40" s="8"/>
      <c r="I40" s="8"/>
      <c r="J40" s="8"/>
      <c r="K40" s="8"/>
      <c r="L40" s="8" t="str">
        <f aca="false">IF(B40="","",ROUND(MAX(0,30-ABS(E40-7.5)*10)+MAX(0,20-ABS(F40-20)*2)+MAX(0,15-ABS(G40-22)*1.5)+MAX(0,10-ABS(H40-52)/2)+IF(I40="","",MAX(0,10-MAX(0,I40-5)*2))+IF(J40="yes",10,IF(J40="manual",5,0))+MIN(5,K40*0.5),0))</f>
        <v/>
      </c>
    </row>
    <row r="41" customFormat="false" ht="15" hidden="false" customHeight="false" outlineLevel="0" collapsed="false">
      <c r="A41" s="7"/>
      <c r="B41" s="7"/>
      <c r="C41" s="7"/>
      <c r="D41" s="7"/>
      <c r="E41" s="7" t="str">
        <f aca="false">IF(AND(C41&lt;&gt;"",D41&lt;&gt;""),IF(TIMEVALUE(D41)&gt;TIMEVALUE(C41),(TIMEVALUE(D41)-TIMEVALUE(C41))*24,(1-TIMEVALUE(C41)+TIMEVALUE(D41))*24),"")</f>
        <v/>
      </c>
      <c r="F41" s="7"/>
      <c r="G41" s="7"/>
      <c r="H41" s="7"/>
      <c r="I41" s="7"/>
      <c r="J41" s="7"/>
      <c r="K41" s="7"/>
      <c r="L41" s="7" t="str">
        <f aca="false">IF(B41="","",ROUND(MAX(0,30-ABS(E41-7.5)*10)+MAX(0,20-ABS(F41-20)*2)+MAX(0,15-ABS(G41-22)*1.5)+MAX(0,10-ABS(H41-52)/2)+IF(I41="","",MAX(0,10-MAX(0,I41-5)*2))+IF(J41="yes",10,IF(J41="manual",5,0))+MIN(5,K41*0.5),0))</f>
        <v/>
      </c>
    </row>
    <row r="42" customFormat="false" ht="15" hidden="false" customHeight="false" outlineLevel="0" collapsed="false">
      <c r="A42" s="8"/>
      <c r="B42" s="8"/>
      <c r="C42" s="8"/>
      <c r="D42" s="8"/>
      <c r="E42" s="8" t="str">
        <f aca="false">IF(AND(C42&lt;&gt;"",D42&lt;&gt;""),IF(TIMEVALUE(D42)&gt;TIMEVALUE(C42),(TIMEVALUE(D42)-TIMEVALUE(C42))*24,(1-TIMEVALUE(C42)+TIMEVALUE(D42))*24),"")</f>
        <v/>
      </c>
      <c r="F42" s="8"/>
      <c r="G42" s="8"/>
      <c r="H42" s="8"/>
      <c r="I42" s="8"/>
      <c r="J42" s="8"/>
      <c r="K42" s="8"/>
      <c r="L42" s="8" t="str">
        <f aca="false">IF(B42="","",ROUND(MAX(0,30-ABS(E42-7.5)*10)+MAX(0,20-ABS(F42-20)*2)+MAX(0,15-ABS(G42-22)*1.5)+MAX(0,10-ABS(H42-52)/2)+IF(I42="","",MAX(0,10-MAX(0,I42-5)*2))+IF(J42="yes",10,IF(J42="manual",5,0))+MIN(5,K42*0.5),0))</f>
        <v/>
      </c>
    </row>
    <row r="43" customFormat="false" ht="15" hidden="false" customHeight="false" outlineLevel="0" collapsed="false">
      <c r="A43" s="7"/>
      <c r="B43" s="7"/>
      <c r="C43" s="7"/>
      <c r="D43" s="7"/>
      <c r="E43" s="7" t="str">
        <f aca="false">IF(AND(C43&lt;&gt;"",D43&lt;&gt;""),IF(TIMEVALUE(D43)&gt;TIMEVALUE(C43),(TIMEVALUE(D43)-TIMEVALUE(C43))*24,(1-TIMEVALUE(C43)+TIMEVALUE(D43))*24),"")</f>
        <v/>
      </c>
      <c r="F43" s="7"/>
      <c r="G43" s="7"/>
      <c r="H43" s="7"/>
      <c r="I43" s="7"/>
      <c r="J43" s="7"/>
      <c r="K43" s="7"/>
      <c r="L43" s="7" t="str">
        <f aca="false">IF(B43="","",ROUND(MAX(0,30-ABS(E43-7.5)*10)+MAX(0,20-ABS(F43-20)*2)+MAX(0,15-ABS(G43-22)*1.5)+MAX(0,10-ABS(H43-52)/2)+IF(I43="","",MAX(0,10-MAX(0,I43-5)*2))+IF(J43="yes",10,IF(J43="manual",5,0))+MIN(5,K43*0.5),0))</f>
        <v/>
      </c>
    </row>
    <row r="44" customFormat="false" ht="15" hidden="false" customHeight="false" outlineLevel="0" collapsed="false">
      <c r="A44" s="8"/>
      <c r="B44" s="8"/>
      <c r="C44" s="8"/>
      <c r="D44" s="8"/>
      <c r="E44" s="8" t="str">
        <f aca="false">IF(AND(C44&lt;&gt;"",D44&lt;&gt;""),IF(TIMEVALUE(D44)&gt;TIMEVALUE(C44),(TIMEVALUE(D44)-TIMEVALUE(C44))*24,(1-TIMEVALUE(C44)+TIMEVALUE(D44))*24),"")</f>
        <v/>
      </c>
      <c r="F44" s="8"/>
      <c r="G44" s="8"/>
      <c r="H44" s="8"/>
      <c r="I44" s="8"/>
      <c r="J44" s="8"/>
      <c r="K44" s="8"/>
      <c r="L44" s="8" t="str">
        <f aca="false">IF(B44="","",ROUND(MAX(0,30-ABS(E44-7.5)*10)+MAX(0,20-ABS(F44-20)*2)+MAX(0,15-ABS(G44-22)*1.5)+MAX(0,10-ABS(H44-52)/2)+IF(I44="","",MAX(0,10-MAX(0,I44-5)*2))+IF(J44="yes",10,IF(J44="manual",5,0))+MIN(5,K44*0.5),0))</f>
        <v/>
      </c>
    </row>
    <row r="45" customFormat="false" ht="15" hidden="false" customHeight="false" outlineLevel="0" collapsed="false">
      <c r="A45" s="7"/>
      <c r="B45" s="7"/>
      <c r="C45" s="7"/>
      <c r="D45" s="7"/>
      <c r="E45" s="7" t="str">
        <f aca="false">IF(AND(C45&lt;&gt;"",D45&lt;&gt;""),IF(TIMEVALUE(D45)&gt;TIMEVALUE(C45),(TIMEVALUE(D45)-TIMEVALUE(C45))*24,(1-TIMEVALUE(C45)+TIMEVALUE(D45))*24),"")</f>
        <v/>
      </c>
      <c r="F45" s="7"/>
      <c r="G45" s="7"/>
      <c r="H45" s="7"/>
      <c r="I45" s="7"/>
      <c r="J45" s="7"/>
      <c r="K45" s="7"/>
      <c r="L45" s="7" t="str">
        <f aca="false">IF(B45="","",ROUND(MAX(0,30-ABS(E45-7.5)*10)+MAX(0,20-ABS(F45-20)*2)+MAX(0,15-ABS(G45-22)*1.5)+MAX(0,10-ABS(H45-52)/2)+IF(I45="","",MAX(0,10-MAX(0,I45-5)*2))+IF(J45="yes",10,IF(J45="manual",5,0))+MIN(5,K45*0.5),0))</f>
        <v/>
      </c>
    </row>
    <row r="46" customFormat="false" ht="15" hidden="false" customHeight="false" outlineLevel="0" collapsed="false">
      <c r="A46" s="8"/>
      <c r="B46" s="8"/>
      <c r="C46" s="8"/>
      <c r="D46" s="8"/>
      <c r="E46" s="8" t="str">
        <f aca="false">IF(AND(C46&lt;&gt;"",D46&lt;&gt;""),IF(TIMEVALUE(D46)&gt;TIMEVALUE(C46),(TIMEVALUE(D46)-TIMEVALUE(C46))*24,(1-TIMEVALUE(C46)+TIMEVALUE(D46))*24),"")</f>
        <v/>
      </c>
      <c r="F46" s="8"/>
      <c r="G46" s="8"/>
      <c r="H46" s="8"/>
      <c r="I46" s="8"/>
      <c r="J46" s="8"/>
      <c r="K46" s="8"/>
      <c r="L46" s="8" t="str">
        <f aca="false">IF(B46="","",ROUND(MAX(0,30-ABS(E46-7.5)*10)+MAX(0,20-ABS(F46-20)*2)+MAX(0,15-ABS(G46-22)*1.5)+MAX(0,10-ABS(H46-52)/2)+IF(I46="","",MAX(0,10-MAX(0,I46-5)*2))+IF(J46="yes",10,IF(J46="manual",5,0))+MIN(5,K46*0.5),0))</f>
        <v/>
      </c>
    </row>
    <row r="47" customFormat="false" ht="15" hidden="false" customHeight="false" outlineLevel="0" collapsed="false">
      <c r="A47" s="7"/>
      <c r="B47" s="7"/>
      <c r="C47" s="7"/>
      <c r="D47" s="7"/>
      <c r="E47" s="7" t="str">
        <f aca="false">IF(AND(C47&lt;&gt;"",D47&lt;&gt;""),IF(TIMEVALUE(D47)&gt;TIMEVALUE(C47),(TIMEVALUE(D47)-TIMEVALUE(C47))*24,(1-TIMEVALUE(C47)+TIMEVALUE(D47))*24),"")</f>
        <v/>
      </c>
      <c r="F47" s="7"/>
      <c r="G47" s="7"/>
      <c r="H47" s="7"/>
      <c r="I47" s="7"/>
      <c r="J47" s="7"/>
      <c r="K47" s="7"/>
      <c r="L47" s="7" t="str">
        <f aca="false">IF(B47="","",ROUND(MAX(0,30-ABS(E47-7.5)*10)+MAX(0,20-ABS(F47-20)*2)+MAX(0,15-ABS(G47-22)*1.5)+MAX(0,10-ABS(H47-52)/2)+IF(I47="","",MAX(0,10-MAX(0,I47-5)*2))+IF(J47="yes",10,IF(J47="manual",5,0))+MIN(5,K47*0.5),0))</f>
        <v/>
      </c>
    </row>
    <row r="48" customFormat="false" ht="15" hidden="false" customHeight="false" outlineLevel="0" collapsed="false">
      <c r="A48" s="8"/>
      <c r="B48" s="8"/>
      <c r="C48" s="8"/>
      <c r="D48" s="8"/>
      <c r="E48" s="8" t="str">
        <f aca="false">IF(AND(C48&lt;&gt;"",D48&lt;&gt;""),IF(TIMEVALUE(D48)&gt;TIMEVALUE(C48),(TIMEVALUE(D48)-TIMEVALUE(C48))*24,(1-TIMEVALUE(C48)+TIMEVALUE(D48))*24),"")</f>
        <v/>
      </c>
      <c r="F48" s="8"/>
      <c r="G48" s="8"/>
      <c r="H48" s="8"/>
      <c r="I48" s="8"/>
      <c r="J48" s="8"/>
      <c r="K48" s="8"/>
      <c r="L48" s="8" t="str">
        <f aca="false">IF(B48="","",ROUND(MAX(0,30-ABS(E48-7.5)*10)+MAX(0,20-ABS(F48-20)*2)+MAX(0,15-ABS(G48-22)*1.5)+MAX(0,10-ABS(H48-52)/2)+IF(I48="","",MAX(0,10-MAX(0,I48-5)*2))+IF(J48="yes",10,IF(J48="manual",5,0))+MIN(5,K48*0.5),0))</f>
        <v/>
      </c>
    </row>
    <row r="49" customFormat="false" ht="15" hidden="false" customHeight="false" outlineLevel="0" collapsed="false">
      <c r="A49" s="7"/>
      <c r="B49" s="7"/>
      <c r="C49" s="7"/>
      <c r="D49" s="7"/>
      <c r="E49" s="7" t="str">
        <f aca="false">IF(AND(C49&lt;&gt;"",D49&lt;&gt;""),IF(TIMEVALUE(D49)&gt;TIMEVALUE(C49),(TIMEVALUE(D49)-TIMEVALUE(C49))*24,(1-TIMEVALUE(C49)+TIMEVALUE(D49))*24),"")</f>
        <v/>
      </c>
      <c r="F49" s="7"/>
      <c r="G49" s="7"/>
      <c r="H49" s="7"/>
      <c r="I49" s="7"/>
      <c r="J49" s="7"/>
      <c r="K49" s="7"/>
      <c r="L49" s="7" t="str">
        <f aca="false">IF(B49="","",ROUND(MAX(0,30-ABS(E49-7.5)*10)+MAX(0,20-ABS(F49-20)*2)+MAX(0,15-ABS(G49-22)*1.5)+MAX(0,10-ABS(H49-52)/2)+IF(I49="","",MAX(0,10-MAX(0,I49-5)*2))+IF(J49="yes",10,IF(J49="manual",5,0))+MIN(5,K49*0.5),0))</f>
        <v/>
      </c>
    </row>
    <row r="50" customFormat="false" ht="15" hidden="false" customHeight="false" outlineLevel="0" collapsed="false">
      <c r="A50" s="8"/>
      <c r="B50" s="8"/>
      <c r="C50" s="8"/>
      <c r="D50" s="8"/>
      <c r="E50" s="8" t="str">
        <f aca="false">IF(AND(C50&lt;&gt;"",D50&lt;&gt;""),IF(TIMEVALUE(D50)&gt;TIMEVALUE(C50),(TIMEVALUE(D50)-TIMEVALUE(C50))*24,(1-TIMEVALUE(C50)+TIMEVALUE(D50))*24),"")</f>
        <v/>
      </c>
      <c r="F50" s="8"/>
      <c r="G50" s="8"/>
      <c r="H50" s="8"/>
      <c r="I50" s="8"/>
      <c r="J50" s="8"/>
      <c r="K50" s="8"/>
      <c r="L50" s="8" t="str">
        <f aca="false">IF(B50="","",ROUND(MAX(0,30-ABS(E50-7.5)*10)+MAX(0,20-ABS(F50-20)*2)+MAX(0,15-ABS(G50-22)*1.5)+MAX(0,10-ABS(H50-52)/2)+IF(I50="","",MAX(0,10-MAX(0,I50-5)*2))+IF(J50="yes",10,IF(J50="manual",5,0))+MIN(5,K50*0.5),0))</f>
        <v/>
      </c>
    </row>
    <row r="51" customFormat="false" ht="15" hidden="false" customHeight="false" outlineLevel="0" collapsed="false">
      <c r="A51" s="7"/>
      <c r="B51" s="7"/>
      <c r="C51" s="7"/>
      <c r="D51" s="7"/>
      <c r="E51" s="7" t="str">
        <f aca="false">IF(AND(C51&lt;&gt;"",D51&lt;&gt;""),IF(TIMEVALUE(D51)&gt;TIMEVALUE(C51),(TIMEVALUE(D51)-TIMEVALUE(C51))*24,(1-TIMEVALUE(C51)+TIMEVALUE(D51))*24),"")</f>
        <v/>
      </c>
      <c r="F51" s="7"/>
      <c r="G51" s="7"/>
      <c r="H51" s="7"/>
      <c r="I51" s="7"/>
      <c r="J51" s="7"/>
      <c r="K51" s="7"/>
      <c r="L51" s="7" t="str">
        <f aca="false">IF(B51="","",ROUND(MAX(0,30-ABS(E51-7.5)*10)+MAX(0,20-ABS(F51-20)*2)+MAX(0,15-ABS(G51-22)*1.5)+MAX(0,10-ABS(H51-52)/2)+IF(I51="","",MAX(0,10-MAX(0,I51-5)*2))+IF(J51="yes",10,IF(J51="manual",5,0))+MIN(5,K51*0.5),0))</f>
        <v/>
      </c>
    </row>
    <row r="52" customFormat="false" ht="15" hidden="false" customHeight="false" outlineLevel="0" collapsed="false">
      <c r="A52" s="8"/>
      <c r="B52" s="8"/>
      <c r="C52" s="8"/>
      <c r="D52" s="8"/>
      <c r="E52" s="8" t="str">
        <f aca="false">IF(AND(C52&lt;&gt;"",D52&lt;&gt;""),IF(TIMEVALUE(D52)&gt;TIMEVALUE(C52),(TIMEVALUE(D52)-TIMEVALUE(C52))*24,(1-TIMEVALUE(C52)+TIMEVALUE(D52))*24),"")</f>
        <v/>
      </c>
      <c r="F52" s="8"/>
      <c r="G52" s="8"/>
      <c r="H52" s="8"/>
      <c r="I52" s="8"/>
      <c r="J52" s="8"/>
      <c r="K52" s="8"/>
      <c r="L52" s="8" t="str">
        <f aca="false">IF(B52="","",ROUND(MAX(0,30-ABS(E52-7.5)*10)+MAX(0,20-ABS(F52-20)*2)+MAX(0,15-ABS(G52-22)*1.5)+MAX(0,10-ABS(H52-52)/2)+IF(I52="","",MAX(0,10-MAX(0,I52-5)*2))+IF(J52="yes",10,IF(J52="manual",5,0))+MIN(5,K52*0.5),0))</f>
        <v/>
      </c>
    </row>
    <row r="53" customFormat="false" ht="15" hidden="false" customHeight="false" outlineLevel="0" collapsed="false">
      <c r="A53" s="7"/>
      <c r="B53" s="7"/>
      <c r="C53" s="7"/>
      <c r="D53" s="7"/>
      <c r="E53" s="7" t="str">
        <f aca="false">IF(AND(C53&lt;&gt;"",D53&lt;&gt;""),IF(TIMEVALUE(D53)&gt;TIMEVALUE(C53),(TIMEVALUE(D53)-TIMEVALUE(C53))*24,(1-TIMEVALUE(C53)+TIMEVALUE(D53))*24),"")</f>
        <v/>
      </c>
      <c r="F53" s="7"/>
      <c r="G53" s="7"/>
      <c r="H53" s="7"/>
      <c r="I53" s="7"/>
      <c r="J53" s="7"/>
      <c r="K53" s="7"/>
      <c r="L53" s="7" t="str">
        <f aca="false">IF(B53="","",ROUND(MAX(0,30-ABS(E53-7.5)*10)+MAX(0,20-ABS(F53-20)*2)+MAX(0,15-ABS(G53-22)*1.5)+MAX(0,10-ABS(H53-52)/2)+IF(I53="","",MAX(0,10-MAX(0,I53-5)*2))+IF(J53="yes",10,IF(J53="manual",5,0))+MIN(5,K53*0.5),0))</f>
        <v/>
      </c>
    </row>
    <row r="54" customFormat="false" ht="15" hidden="false" customHeight="false" outlineLevel="0" collapsed="false">
      <c r="A54" s="8"/>
      <c r="B54" s="8"/>
      <c r="C54" s="8"/>
      <c r="D54" s="8"/>
      <c r="E54" s="8" t="str">
        <f aca="false">IF(AND(C54&lt;&gt;"",D54&lt;&gt;""),IF(TIMEVALUE(D54)&gt;TIMEVALUE(C54),(TIMEVALUE(D54)-TIMEVALUE(C54))*24,(1-TIMEVALUE(C54)+TIMEVALUE(D54))*24),"")</f>
        <v/>
      </c>
      <c r="F54" s="8"/>
      <c r="G54" s="8"/>
      <c r="H54" s="8"/>
      <c r="I54" s="8"/>
      <c r="J54" s="8"/>
      <c r="K54" s="8"/>
      <c r="L54" s="8" t="str">
        <f aca="false">IF(B54="","",ROUND(MAX(0,30-ABS(E54-7.5)*10)+MAX(0,20-ABS(F54-20)*2)+MAX(0,15-ABS(G54-22)*1.5)+MAX(0,10-ABS(H54-52)/2)+IF(I54="","",MAX(0,10-MAX(0,I54-5)*2))+IF(J54="yes",10,IF(J54="manual",5,0))+MIN(5,K54*0.5),0))</f>
        <v/>
      </c>
    </row>
    <row r="55" customFormat="false" ht="15" hidden="false" customHeight="false" outlineLevel="0" collapsed="false">
      <c r="A55" s="7"/>
      <c r="B55" s="7"/>
      <c r="C55" s="7"/>
      <c r="D55" s="7"/>
      <c r="E55" s="7" t="str">
        <f aca="false">IF(AND(C55&lt;&gt;"",D55&lt;&gt;""),IF(TIMEVALUE(D55)&gt;TIMEVALUE(C55),(TIMEVALUE(D55)-TIMEVALUE(C55))*24,(1-TIMEVALUE(C55)+TIMEVALUE(D55))*24),"")</f>
        <v/>
      </c>
      <c r="F55" s="7"/>
      <c r="G55" s="7"/>
      <c r="H55" s="7"/>
      <c r="I55" s="7"/>
      <c r="J55" s="7"/>
      <c r="K55" s="7"/>
      <c r="L55" s="7" t="str">
        <f aca="false">IF(B55="","",ROUND(MAX(0,30-ABS(E55-7.5)*10)+MAX(0,20-ABS(F55-20)*2)+MAX(0,15-ABS(G55-22)*1.5)+MAX(0,10-ABS(H55-52)/2)+IF(I55="","",MAX(0,10-MAX(0,I55-5)*2))+IF(J55="yes",10,IF(J55="manual",5,0))+MIN(5,K55*0.5),0))</f>
        <v/>
      </c>
    </row>
    <row r="56" customFormat="false" ht="15" hidden="false" customHeight="false" outlineLevel="0" collapsed="false">
      <c r="A56" s="8"/>
      <c r="B56" s="8"/>
      <c r="C56" s="8"/>
      <c r="D56" s="8"/>
      <c r="E56" s="8" t="str">
        <f aca="false">IF(AND(C56&lt;&gt;"",D56&lt;&gt;""),IF(TIMEVALUE(D56)&gt;TIMEVALUE(C56),(TIMEVALUE(D56)-TIMEVALUE(C56))*24,(1-TIMEVALUE(C56)+TIMEVALUE(D56))*24),"")</f>
        <v/>
      </c>
      <c r="F56" s="8"/>
      <c r="G56" s="8"/>
      <c r="H56" s="8"/>
      <c r="I56" s="8"/>
      <c r="J56" s="8"/>
      <c r="K56" s="8"/>
      <c r="L56" s="8" t="str">
        <f aca="false">IF(B56="","",ROUND(MAX(0,30-ABS(E56-7.5)*10)+MAX(0,20-ABS(F56-20)*2)+MAX(0,15-ABS(G56-22)*1.5)+MAX(0,10-ABS(H56-52)/2)+IF(I56="","",MAX(0,10-MAX(0,I56-5)*2))+IF(J56="yes",10,IF(J56="manual",5,0))+MIN(5,K56*0.5),0))</f>
        <v/>
      </c>
    </row>
    <row r="57" customFormat="false" ht="15" hidden="false" customHeight="false" outlineLevel="0" collapsed="false">
      <c r="A57" s="7"/>
      <c r="B57" s="7"/>
      <c r="C57" s="7"/>
      <c r="D57" s="7"/>
      <c r="E57" s="7" t="str">
        <f aca="false">IF(AND(C57&lt;&gt;"",D57&lt;&gt;""),IF(TIMEVALUE(D57)&gt;TIMEVALUE(C57),(TIMEVALUE(D57)-TIMEVALUE(C57))*24,(1-TIMEVALUE(C57)+TIMEVALUE(D57))*24),"")</f>
        <v/>
      </c>
      <c r="F57" s="7"/>
      <c r="G57" s="7"/>
      <c r="H57" s="7"/>
      <c r="I57" s="7"/>
      <c r="J57" s="7"/>
      <c r="K57" s="7"/>
      <c r="L57" s="7" t="str">
        <f aca="false">IF(B57="","",ROUND(MAX(0,30-ABS(E57-7.5)*10)+MAX(0,20-ABS(F57-20)*2)+MAX(0,15-ABS(G57-22)*1.5)+MAX(0,10-ABS(H57-52)/2)+IF(I57="","",MAX(0,10-MAX(0,I57-5)*2))+IF(J57="yes",10,IF(J57="manual",5,0))+MIN(5,K57*0.5),0))</f>
        <v/>
      </c>
    </row>
    <row r="58" customFormat="false" ht="15" hidden="false" customHeight="false" outlineLevel="0" collapsed="false">
      <c r="A58" s="8"/>
      <c r="B58" s="8"/>
      <c r="C58" s="8"/>
      <c r="D58" s="8"/>
      <c r="E58" s="8" t="str">
        <f aca="false">IF(AND(C58&lt;&gt;"",D58&lt;&gt;""),IF(TIMEVALUE(D58)&gt;TIMEVALUE(C58),(TIMEVALUE(D58)-TIMEVALUE(C58))*24,(1-TIMEVALUE(C58)+TIMEVALUE(D58))*24),"")</f>
        <v/>
      </c>
      <c r="F58" s="8"/>
      <c r="G58" s="8"/>
      <c r="H58" s="8"/>
      <c r="I58" s="8"/>
      <c r="J58" s="8"/>
      <c r="K58" s="8"/>
      <c r="L58" s="8" t="str">
        <f aca="false">IF(B58="","",ROUND(MAX(0,30-ABS(E58-7.5)*10)+MAX(0,20-ABS(F58-20)*2)+MAX(0,15-ABS(G58-22)*1.5)+MAX(0,10-ABS(H58-52)/2)+IF(I58="","",MAX(0,10-MAX(0,I58-5)*2))+IF(J58="yes",10,IF(J58="manual",5,0))+MIN(5,K58*0.5),0))</f>
        <v/>
      </c>
    </row>
    <row r="59" customFormat="false" ht="15" hidden="false" customHeight="false" outlineLevel="0" collapsed="false">
      <c r="A59" s="7"/>
      <c r="B59" s="7"/>
      <c r="C59" s="7"/>
      <c r="D59" s="7"/>
      <c r="E59" s="7" t="str">
        <f aca="false">IF(AND(C59&lt;&gt;"",D59&lt;&gt;""),IF(TIMEVALUE(D59)&gt;TIMEVALUE(C59),(TIMEVALUE(D59)-TIMEVALUE(C59))*24,(1-TIMEVALUE(C59)+TIMEVALUE(D59))*24),"")</f>
        <v/>
      </c>
      <c r="F59" s="7"/>
      <c r="G59" s="7"/>
      <c r="H59" s="7"/>
      <c r="I59" s="7"/>
      <c r="J59" s="7"/>
      <c r="K59" s="7"/>
      <c r="L59" s="7" t="str">
        <f aca="false">IF(B59="","",ROUND(MAX(0,30-ABS(E59-7.5)*10)+MAX(0,20-ABS(F59-20)*2)+MAX(0,15-ABS(G59-22)*1.5)+MAX(0,10-ABS(H59-52)/2)+IF(I59="","",MAX(0,10-MAX(0,I59-5)*2))+IF(J59="yes",10,IF(J59="manual",5,0))+MIN(5,K59*0.5),0))</f>
        <v/>
      </c>
    </row>
    <row r="60" customFormat="false" ht="15" hidden="false" customHeight="false" outlineLevel="0" collapsed="false">
      <c r="A60" s="8"/>
      <c r="B60" s="8"/>
      <c r="C60" s="8"/>
      <c r="D60" s="8"/>
      <c r="E60" s="8" t="str">
        <f aca="false">IF(AND(C60&lt;&gt;"",D60&lt;&gt;""),IF(TIMEVALUE(D60)&gt;TIMEVALUE(C60),(TIMEVALUE(D60)-TIMEVALUE(C60))*24,(1-TIMEVALUE(C60)+TIMEVALUE(D60))*24),"")</f>
        <v/>
      </c>
      <c r="F60" s="8"/>
      <c r="G60" s="8"/>
      <c r="H60" s="8"/>
      <c r="I60" s="8"/>
      <c r="J60" s="8"/>
      <c r="K60" s="8"/>
      <c r="L60" s="8" t="str">
        <f aca="false">IF(B60="","",ROUND(MAX(0,30-ABS(E60-7.5)*10)+MAX(0,20-ABS(F60-20)*2)+MAX(0,15-ABS(G60-22)*1.5)+MAX(0,10-ABS(H60-52)/2)+IF(I60="","",MAX(0,10-MAX(0,I60-5)*2))+IF(J60="yes",10,IF(J60="manual",5,0))+MIN(5,K60*0.5),0))</f>
        <v/>
      </c>
    </row>
    <row r="61" customFormat="false" ht="15" hidden="false" customHeight="false" outlineLevel="0" collapsed="false">
      <c r="A61" s="7"/>
      <c r="B61" s="7"/>
      <c r="C61" s="7"/>
      <c r="D61" s="7"/>
      <c r="E61" s="7" t="str">
        <f aca="false">IF(AND(C61&lt;&gt;"",D61&lt;&gt;""),IF(TIMEVALUE(D61)&gt;TIMEVALUE(C61),(TIMEVALUE(D61)-TIMEVALUE(C61))*24,(1-TIMEVALUE(C61)+TIMEVALUE(D61))*24),"")</f>
        <v/>
      </c>
      <c r="F61" s="7"/>
      <c r="G61" s="7"/>
      <c r="H61" s="7"/>
      <c r="I61" s="7"/>
      <c r="J61" s="7"/>
      <c r="K61" s="7"/>
      <c r="L61" s="7" t="str">
        <f aca="false">IF(B61="","",ROUND(MAX(0,30-ABS(E61-7.5)*10)+MAX(0,20-ABS(F61-20)*2)+MAX(0,15-ABS(G61-22)*1.5)+MAX(0,10-ABS(H61-52)/2)+IF(I61="","",MAX(0,10-MAX(0,I61-5)*2))+IF(J61="yes",10,IF(J61="manual",5,0))+MIN(5,K61*0.5),0))</f>
        <v/>
      </c>
    </row>
    <row r="62" customFormat="false" ht="15" hidden="false" customHeight="false" outlineLevel="0" collapsed="false">
      <c r="A62" s="8"/>
      <c r="B62" s="8"/>
      <c r="C62" s="8"/>
      <c r="D62" s="8"/>
      <c r="E62" s="8" t="str">
        <f aca="false">IF(AND(C62&lt;&gt;"",D62&lt;&gt;""),IF(TIMEVALUE(D62)&gt;TIMEVALUE(C62),(TIMEVALUE(D62)-TIMEVALUE(C62))*24,(1-TIMEVALUE(C62)+TIMEVALUE(D62))*24),"")</f>
        <v/>
      </c>
      <c r="F62" s="8"/>
      <c r="G62" s="8"/>
      <c r="H62" s="8"/>
      <c r="I62" s="8"/>
      <c r="J62" s="8"/>
      <c r="K62" s="8"/>
      <c r="L62" s="8" t="str">
        <f aca="false">IF(B62="","",ROUND(MAX(0,30-ABS(E62-7.5)*10)+MAX(0,20-ABS(F62-20)*2)+MAX(0,15-ABS(G62-22)*1.5)+MAX(0,10-ABS(H62-52)/2)+IF(I62="","",MAX(0,10-MAX(0,I62-5)*2))+IF(J62="yes",10,IF(J62="manual",5,0))+MIN(5,K62*0.5),0))</f>
        <v/>
      </c>
    </row>
    <row r="63" customFormat="false" ht="15" hidden="false" customHeight="false" outlineLevel="0" collapsed="false">
      <c r="A63" s="7"/>
      <c r="B63" s="7"/>
      <c r="C63" s="7"/>
      <c r="D63" s="7"/>
      <c r="E63" s="7" t="str">
        <f aca="false">IF(AND(C63&lt;&gt;"",D63&lt;&gt;""),IF(TIMEVALUE(D63)&gt;TIMEVALUE(C63),(TIMEVALUE(D63)-TIMEVALUE(C63))*24,(1-TIMEVALUE(C63)+TIMEVALUE(D63))*24),"")</f>
        <v/>
      </c>
      <c r="F63" s="7"/>
      <c r="G63" s="7"/>
      <c r="H63" s="7"/>
      <c r="I63" s="7"/>
      <c r="J63" s="7"/>
      <c r="K63" s="7"/>
      <c r="L63" s="7" t="str">
        <f aca="false">IF(B63="","",ROUND(MAX(0,30-ABS(E63-7.5)*10)+MAX(0,20-ABS(F63-20)*2)+MAX(0,15-ABS(G63-22)*1.5)+MAX(0,10-ABS(H63-52)/2)+IF(I63="","",MAX(0,10-MAX(0,I63-5)*2))+IF(J63="yes",10,IF(J63="manual",5,0))+MIN(5,K63*0.5),0))</f>
        <v/>
      </c>
    </row>
    <row r="64" customFormat="false" ht="15" hidden="false" customHeight="false" outlineLevel="0" collapsed="false">
      <c r="A64" s="8"/>
      <c r="B64" s="8"/>
      <c r="C64" s="8"/>
      <c r="D64" s="8"/>
      <c r="E64" s="8" t="str">
        <f aca="false">IF(AND(C64&lt;&gt;"",D64&lt;&gt;""),IF(TIMEVALUE(D64)&gt;TIMEVALUE(C64),(TIMEVALUE(D64)-TIMEVALUE(C64))*24,(1-TIMEVALUE(C64)+TIMEVALUE(D64))*24),"")</f>
        <v/>
      </c>
      <c r="F64" s="8"/>
      <c r="G64" s="8"/>
      <c r="H64" s="8"/>
      <c r="I64" s="8"/>
      <c r="J64" s="8"/>
      <c r="K64" s="8"/>
      <c r="L64" s="8" t="str">
        <f aca="false">IF(B64="","",ROUND(MAX(0,30-ABS(E64-7.5)*10)+MAX(0,20-ABS(F64-20)*2)+MAX(0,15-ABS(G64-22)*1.5)+MAX(0,10-ABS(H64-52)/2)+IF(I64="","",MAX(0,10-MAX(0,I64-5)*2))+IF(J64="yes",10,IF(J64="manual",5,0))+MIN(5,K64*0.5),0))</f>
        <v/>
      </c>
    </row>
    <row r="65" customFormat="false" ht="15" hidden="false" customHeight="false" outlineLevel="0" collapsed="false">
      <c r="A65" s="7"/>
      <c r="B65" s="7"/>
      <c r="C65" s="7"/>
      <c r="D65" s="7"/>
      <c r="E65" s="7" t="str">
        <f aca="false">IF(AND(C65&lt;&gt;"",D65&lt;&gt;""),IF(TIMEVALUE(D65)&gt;TIMEVALUE(C65),(TIMEVALUE(D65)-TIMEVALUE(C65))*24,(1-TIMEVALUE(C65)+TIMEVALUE(D65))*24),"")</f>
        <v/>
      </c>
      <c r="F65" s="7"/>
      <c r="G65" s="7"/>
      <c r="H65" s="7"/>
      <c r="I65" s="7"/>
      <c r="J65" s="7"/>
      <c r="K65" s="7"/>
      <c r="L65" s="7" t="str">
        <f aca="false">IF(B65="","",ROUND(MAX(0,30-ABS(E65-7.5)*10)+MAX(0,20-ABS(F65-20)*2)+MAX(0,15-ABS(G65-22)*1.5)+MAX(0,10-ABS(H65-52)/2)+IF(I65="","",MAX(0,10-MAX(0,I65-5)*2))+IF(J65="yes",10,IF(J65="manual",5,0))+MIN(5,K65*0.5),0))</f>
        <v/>
      </c>
    </row>
    <row r="66" customFormat="false" ht="15" hidden="false" customHeight="false" outlineLevel="0" collapsed="false">
      <c r="A66" s="8"/>
      <c r="B66" s="8"/>
      <c r="C66" s="8"/>
      <c r="D66" s="8"/>
      <c r="E66" s="8" t="str">
        <f aca="false">IF(AND(C66&lt;&gt;"",D66&lt;&gt;""),IF(TIMEVALUE(D66)&gt;TIMEVALUE(C66),(TIMEVALUE(D66)-TIMEVALUE(C66))*24,(1-TIMEVALUE(C66)+TIMEVALUE(D66))*24),"")</f>
        <v/>
      </c>
      <c r="F66" s="8"/>
      <c r="G66" s="8"/>
      <c r="H66" s="8"/>
      <c r="I66" s="8"/>
      <c r="J66" s="8"/>
      <c r="K66" s="8"/>
      <c r="L66" s="8" t="str">
        <f aca="false">IF(B66="","",ROUND(MAX(0,30-ABS(E66-7.5)*10)+MAX(0,20-ABS(F66-20)*2)+MAX(0,15-ABS(G66-22)*1.5)+MAX(0,10-ABS(H66-52)/2)+IF(I66="","",MAX(0,10-MAX(0,I66-5)*2))+IF(J66="yes",10,IF(J66="manual",5,0))+MIN(5,K66*0.5),0))</f>
        <v/>
      </c>
    </row>
    <row r="67" customFormat="false" ht="15" hidden="false" customHeight="false" outlineLevel="0" collapsed="false">
      <c r="A67" s="7"/>
      <c r="B67" s="7"/>
      <c r="C67" s="7"/>
      <c r="D67" s="7"/>
      <c r="E67" s="7" t="str">
        <f aca="false">IF(AND(C67&lt;&gt;"",D67&lt;&gt;""),IF(TIMEVALUE(D67)&gt;TIMEVALUE(C67),(TIMEVALUE(D67)-TIMEVALUE(C67))*24,(1-TIMEVALUE(C67)+TIMEVALUE(D67))*24),"")</f>
        <v/>
      </c>
      <c r="F67" s="7"/>
      <c r="G67" s="7"/>
      <c r="H67" s="7"/>
      <c r="I67" s="7"/>
      <c r="J67" s="7"/>
      <c r="K67" s="7"/>
      <c r="L67" s="7" t="str">
        <f aca="false">IF(B67="","",ROUND(MAX(0,30-ABS(E67-7.5)*10)+MAX(0,20-ABS(F67-20)*2)+MAX(0,15-ABS(G67-22)*1.5)+MAX(0,10-ABS(H67-52)/2)+IF(I67="","",MAX(0,10-MAX(0,I67-5)*2))+IF(J67="yes",10,IF(J67="manual",5,0))+MIN(5,K67*0.5),0))</f>
        <v/>
      </c>
    </row>
    <row r="68" customFormat="false" ht="15" hidden="false" customHeight="false" outlineLevel="0" collapsed="false">
      <c r="A68" s="8"/>
      <c r="B68" s="8"/>
      <c r="C68" s="8"/>
      <c r="D68" s="8"/>
      <c r="E68" s="8" t="str">
        <f aca="false">IF(AND(C68&lt;&gt;"",D68&lt;&gt;""),IF(TIMEVALUE(D68)&gt;TIMEVALUE(C68),(TIMEVALUE(D68)-TIMEVALUE(C68))*24,(1-TIMEVALUE(C68)+TIMEVALUE(D68))*24),"")</f>
        <v/>
      </c>
      <c r="F68" s="8"/>
      <c r="G68" s="8"/>
      <c r="H68" s="8"/>
      <c r="I68" s="8"/>
      <c r="J68" s="8"/>
      <c r="K68" s="8"/>
      <c r="L68" s="8" t="str">
        <f aca="false">IF(B68="","",ROUND(MAX(0,30-ABS(E68-7.5)*10)+MAX(0,20-ABS(F68-20)*2)+MAX(0,15-ABS(G68-22)*1.5)+MAX(0,10-ABS(H68-52)/2)+IF(I68="","",MAX(0,10-MAX(0,I68-5)*2))+IF(J68="yes",10,IF(J68="manual",5,0))+MIN(5,K68*0.5),0))</f>
        <v/>
      </c>
    </row>
    <row r="69" customFormat="false" ht="15" hidden="false" customHeight="false" outlineLevel="0" collapsed="false">
      <c r="A69" s="7"/>
      <c r="B69" s="7"/>
      <c r="C69" s="7"/>
      <c r="D69" s="7"/>
      <c r="E69" s="7" t="str">
        <f aca="false">IF(AND(C69&lt;&gt;"",D69&lt;&gt;""),IF(TIMEVALUE(D69)&gt;TIMEVALUE(C69),(TIMEVALUE(D69)-TIMEVALUE(C69))*24,(1-TIMEVALUE(C69)+TIMEVALUE(D69))*24),"")</f>
        <v/>
      </c>
      <c r="F69" s="7"/>
      <c r="G69" s="7"/>
      <c r="H69" s="7"/>
      <c r="I69" s="7"/>
      <c r="J69" s="7"/>
      <c r="K69" s="7"/>
      <c r="L69" s="7" t="str">
        <f aca="false">IF(B69="","",ROUND(MAX(0,30-ABS(E69-7.5)*10)+MAX(0,20-ABS(F69-20)*2)+MAX(0,15-ABS(G69-22)*1.5)+MAX(0,10-ABS(H69-52)/2)+IF(I69="","",MAX(0,10-MAX(0,I69-5)*2))+IF(J69="yes",10,IF(J69="manual",5,0))+MIN(5,K69*0.5),0))</f>
        <v/>
      </c>
    </row>
    <row r="70" customFormat="false" ht="15" hidden="false" customHeight="false" outlineLevel="0" collapsed="false">
      <c r="A70" s="8"/>
      <c r="B70" s="8"/>
      <c r="C70" s="8"/>
      <c r="D70" s="8"/>
      <c r="E70" s="8" t="str">
        <f aca="false">IF(AND(C70&lt;&gt;"",D70&lt;&gt;""),IF(TIMEVALUE(D70)&gt;TIMEVALUE(C70),(TIMEVALUE(D70)-TIMEVALUE(C70))*24,(1-TIMEVALUE(C70)+TIMEVALUE(D70))*24),"")</f>
        <v/>
      </c>
      <c r="F70" s="8"/>
      <c r="G70" s="8"/>
      <c r="H70" s="8"/>
      <c r="I70" s="8"/>
      <c r="J70" s="8"/>
      <c r="K70" s="8"/>
      <c r="L70" s="8" t="str">
        <f aca="false">IF(B70="","",ROUND(MAX(0,30-ABS(E70-7.5)*10)+MAX(0,20-ABS(F70-20)*2)+MAX(0,15-ABS(G70-22)*1.5)+MAX(0,10-ABS(H70-52)/2)+IF(I70="","",MAX(0,10-MAX(0,I70-5)*2))+IF(J70="yes",10,IF(J70="manual",5,0))+MIN(5,K70*0.5),0))</f>
        <v/>
      </c>
    </row>
    <row r="71" customFormat="false" ht="15" hidden="false" customHeight="false" outlineLevel="0" collapsed="false">
      <c r="A71" s="7"/>
      <c r="B71" s="7"/>
      <c r="C71" s="7"/>
      <c r="D71" s="7"/>
      <c r="E71" s="7" t="str">
        <f aca="false">IF(AND(C71&lt;&gt;"",D71&lt;&gt;""),IF(TIMEVALUE(D71)&gt;TIMEVALUE(C71),(TIMEVALUE(D71)-TIMEVALUE(C71))*24,(1-TIMEVALUE(C71)+TIMEVALUE(D71))*24),"")</f>
        <v/>
      </c>
      <c r="F71" s="7"/>
      <c r="G71" s="7"/>
      <c r="H71" s="7"/>
      <c r="I71" s="7"/>
      <c r="J71" s="7"/>
      <c r="K71" s="7"/>
      <c r="L71" s="7" t="str">
        <f aca="false">IF(B71="","",ROUND(MAX(0,30-ABS(E71-7.5)*10)+MAX(0,20-ABS(F71-20)*2)+MAX(0,15-ABS(G71-22)*1.5)+MAX(0,10-ABS(H71-52)/2)+IF(I71="","",MAX(0,10-MAX(0,I71-5)*2))+IF(J71="yes",10,IF(J71="manual",5,0))+MIN(5,K71*0.5),0))</f>
        <v/>
      </c>
    </row>
    <row r="72" customFormat="false" ht="15" hidden="false" customHeight="false" outlineLevel="0" collapsed="false">
      <c r="A72" s="8"/>
      <c r="B72" s="8"/>
      <c r="C72" s="8"/>
      <c r="D72" s="8"/>
      <c r="E72" s="8" t="str">
        <f aca="false">IF(AND(C72&lt;&gt;"",D72&lt;&gt;""),IF(TIMEVALUE(D72)&gt;TIMEVALUE(C72),(TIMEVALUE(D72)-TIMEVALUE(C72))*24,(1-TIMEVALUE(C72)+TIMEVALUE(D72))*24),"")</f>
        <v/>
      </c>
      <c r="F72" s="8"/>
      <c r="G72" s="8"/>
      <c r="H72" s="8"/>
      <c r="I72" s="8"/>
      <c r="J72" s="8"/>
      <c r="K72" s="8"/>
      <c r="L72" s="8" t="str">
        <f aca="false">IF(B72="","",ROUND(MAX(0,30-ABS(E72-7.5)*10)+MAX(0,20-ABS(F72-20)*2)+MAX(0,15-ABS(G72-22)*1.5)+MAX(0,10-ABS(H72-52)/2)+IF(I72="","",MAX(0,10-MAX(0,I72-5)*2))+IF(J72="yes",10,IF(J72="manual",5,0))+MIN(5,K72*0.5),0))</f>
        <v/>
      </c>
    </row>
    <row r="73" customFormat="false" ht="15" hidden="false" customHeight="false" outlineLevel="0" collapsed="false">
      <c r="A73" s="7"/>
      <c r="B73" s="7"/>
      <c r="C73" s="7"/>
      <c r="D73" s="7"/>
      <c r="E73" s="7" t="str">
        <f aca="false">IF(AND(C73&lt;&gt;"",D73&lt;&gt;""),IF(TIMEVALUE(D73)&gt;TIMEVALUE(C73),(TIMEVALUE(D73)-TIMEVALUE(C73))*24,(1-TIMEVALUE(C73)+TIMEVALUE(D73))*24),"")</f>
        <v/>
      </c>
      <c r="F73" s="7"/>
      <c r="G73" s="7"/>
      <c r="H73" s="7"/>
      <c r="I73" s="7"/>
      <c r="J73" s="7"/>
      <c r="K73" s="7"/>
      <c r="L73" s="7" t="str">
        <f aca="false">IF(B73="","",ROUND(MAX(0,30-ABS(E73-7.5)*10)+MAX(0,20-ABS(F73-20)*2)+MAX(0,15-ABS(G73-22)*1.5)+MAX(0,10-ABS(H73-52)/2)+IF(I73="","",MAX(0,10-MAX(0,I73-5)*2))+IF(J73="yes",10,IF(J73="manual",5,0))+MIN(5,K73*0.5),0))</f>
        <v/>
      </c>
    </row>
    <row r="74" customFormat="false" ht="15" hidden="false" customHeight="false" outlineLevel="0" collapsed="false">
      <c r="A74" s="8"/>
      <c r="B74" s="8"/>
      <c r="C74" s="8"/>
      <c r="D74" s="8"/>
      <c r="E74" s="8" t="str">
        <f aca="false">IF(AND(C74&lt;&gt;"",D74&lt;&gt;""),IF(TIMEVALUE(D74)&gt;TIMEVALUE(C74),(TIMEVALUE(D74)-TIMEVALUE(C74))*24,(1-TIMEVALUE(C74)+TIMEVALUE(D74))*24),"")</f>
        <v/>
      </c>
      <c r="F74" s="8"/>
      <c r="G74" s="8"/>
      <c r="H74" s="8"/>
      <c r="I74" s="8"/>
      <c r="J74" s="8"/>
      <c r="K74" s="8"/>
      <c r="L74" s="8" t="str">
        <f aca="false">IF(B74="","",ROUND(MAX(0,30-ABS(E74-7.5)*10)+MAX(0,20-ABS(F74-20)*2)+MAX(0,15-ABS(G74-22)*1.5)+MAX(0,10-ABS(H74-52)/2)+IF(I74="","",MAX(0,10-MAX(0,I74-5)*2))+IF(J74="yes",10,IF(J74="manual",5,0))+MIN(5,K74*0.5),0))</f>
        <v/>
      </c>
    </row>
    <row r="75" customFormat="false" ht="15" hidden="false" customHeight="false" outlineLevel="0" collapsed="false">
      <c r="A75" s="7"/>
      <c r="B75" s="7"/>
      <c r="C75" s="7"/>
      <c r="D75" s="7"/>
      <c r="E75" s="7" t="str">
        <f aca="false">IF(AND(C75&lt;&gt;"",D75&lt;&gt;""),IF(TIMEVALUE(D75)&gt;TIMEVALUE(C75),(TIMEVALUE(D75)-TIMEVALUE(C75))*24,(1-TIMEVALUE(C75)+TIMEVALUE(D75))*24),"")</f>
        <v/>
      </c>
      <c r="F75" s="7"/>
      <c r="G75" s="7"/>
      <c r="H75" s="7"/>
      <c r="I75" s="7"/>
      <c r="J75" s="7"/>
      <c r="K75" s="7"/>
      <c r="L75" s="7" t="str">
        <f aca="false">IF(B75="","",ROUND(MAX(0,30-ABS(E75-7.5)*10)+MAX(0,20-ABS(F75-20)*2)+MAX(0,15-ABS(G75-22)*1.5)+MAX(0,10-ABS(H75-52)/2)+IF(I75="","",MAX(0,10-MAX(0,I75-5)*2))+IF(J75="yes",10,IF(J75="manual",5,0))+MIN(5,K75*0.5),0))</f>
        <v/>
      </c>
    </row>
    <row r="76" customFormat="false" ht="15" hidden="false" customHeight="false" outlineLevel="0" collapsed="false">
      <c r="A76" s="8"/>
      <c r="B76" s="8"/>
      <c r="C76" s="8"/>
      <c r="D76" s="8"/>
      <c r="E76" s="8" t="str">
        <f aca="false">IF(AND(C76&lt;&gt;"",D76&lt;&gt;""),IF(TIMEVALUE(D76)&gt;TIMEVALUE(C76),(TIMEVALUE(D76)-TIMEVALUE(C76))*24,(1-TIMEVALUE(C76)+TIMEVALUE(D76))*24),"")</f>
        <v/>
      </c>
      <c r="F76" s="8"/>
      <c r="G76" s="8"/>
      <c r="H76" s="8"/>
      <c r="I76" s="8"/>
      <c r="J76" s="8"/>
      <c r="K76" s="8"/>
      <c r="L76" s="8" t="str">
        <f aca="false">IF(B76="","",ROUND(MAX(0,30-ABS(E76-7.5)*10)+MAX(0,20-ABS(F76-20)*2)+MAX(0,15-ABS(G76-22)*1.5)+MAX(0,10-ABS(H76-52)/2)+IF(I76="","",MAX(0,10-MAX(0,I76-5)*2))+IF(J76="yes",10,IF(J76="manual",5,0))+MIN(5,K76*0.5),0))</f>
        <v/>
      </c>
    </row>
    <row r="77" customFormat="false" ht="15" hidden="false" customHeight="false" outlineLevel="0" collapsed="false">
      <c r="A77" s="7"/>
      <c r="B77" s="7"/>
      <c r="C77" s="7"/>
      <c r="D77" s="7"/>
      <c r="E77" s="7" t="str">
        <f aca="false">IF(AND(C77&lt;&gt;"",D77&lt;&gt;""),IF(TIMEVALUE(D77)&gt;TIMEVALUE(C77),(TIMEVALUE(D77)-TIMEVALUE(C77))*24,(1-TIMEVALUE(C77)+TIMEVALUE(D77))*24),"")</f>
        <v/>
      </c>
      <c r="F77" s="7"/>
      <c r="G77" s="7"/>
      <c r="H77" s="7"/>
      <c r="I77" s="7"/>
      <c r="J77" s="7"/>
      <c r="K77" s="7"/>
      <c r="L77" s="7" t="str">
        <f aca="false">IF(B77="","",ROUND(MAX(0,30-ABS(E77-7.5)*10)+MAX(0,20-ABS(F77-20)*2)+MAX(0,15-ABS(G77-22)*1.5)+MAX(0,10-ABS(H77-52)/2)+IF(I77="","",MAX(0,10-MAX(0,I77-5)*2))+IF(J77="yes",10,IF(J77="manual",5,0))+MIN(5,K77*0.5),0))</f>
        <v/>
      </c>
    </row>
    <row r="78" customFormat="false" ht="15" hidden="false" customHeight="false" outlineLevel="0" collapsed="false">
      <c r="A78" s="8"/>
      <c r="B78" s="8"/>
      <c r="C78" s="8"/>
      <c r="D78" s="8"/>
      <c r="E78" s="8" t="str">
        <f aca="false">IF(AND(C78&lt;&gt;"",D78&lt;&gt;""),IF(TIMEVALUE(D78)&gt;TIMEVALUE(C78),(TIMEVALUE(D78)-TIMEVALUE(C78))*24,(1-TIMEVALUE(C78)+TIMEVALUE(D78))*24),"")</f>
        <v/>
      </c>
      <c r="F78" s="8"/>
      <c r="G78" s="8"/>
      <c r="H78" s="8"/>
      <c r="I78" s="8"/>
      <c r="J78" s="8"/>
      <c r="K78" s="8"/>
      <c r="L78" s="8" t="str">
        <f aca="false">IF(B78="","",ROUND(MAX(0,30-ABS(E78-7.5)*10)+MAX(0,20-ABS(F78-20)*2)+MAX(0,15-ABS(G78-22)*1.5)+MAX(0,10-ABS(H78-52)/2)+IF(I78="","",MAX(0,10-MAX(0,I78-5)*2))+IF(J78="yes",10,IF(J78="manual",5,0))+MIN(5,K78*0.5),0))</f>
        <v/>
      </c>
    </row>
    <row r="79" customFormat="false" ht="15" hidden="false" customHeight="false" outlineLevel="0" collapsed="false">
      <c r="A79" s="7"/>
      <c r="B79" s="7"/>
      <c r="C79" s="7"/>
      <c r="D79" s="7"/>
      <c r="E79" s="7" t="str">
        <f aca="false">IF(AND(C79&lt;&gt;"",D79&lt;&gt;""),IF(TIMEVALUE(D79)&gt;TIMEVALUE(C79),(TIMEVALUE(D79)-TIMEVALUE(C79))*24,(1-TIMEVALUE(C79)+TIMEVALUE(D79))*24),"")</f>
        <v/>
      </c>
      <c r="F79" s="7"/>
      <c r="G79" s="7"/>
      <c r="H79" s="7"/>
      <c r="I79" s="7"/>
      <c r="J79" s="7"/>
      <c r="K79" s="7"/>
      <c r="L79" s="7" t="str">
        <f aca="false">IF(B79="","",ROUND(MAX(0,30-ABS(E79-7.5)*10)+MAX(0,20-ABS(F79-20)*2)+MAX(0,15-ABS(G79-22)*1.5)+MAX(0,10-ABS(H79-52)/2)+IF(I79="","",MAX(0,10-MAX(0,I79-5)*2))+IF(J79="yes",10,IF(J79="manual",5,0))+MIN(5,K79*0.5),0))</f>
        <v/>
      </c>
    </row>
    <row r="80" customFormat="false" ht="15" hidden="false" customHeight="false" outlineLevel="0" collapsed="false">
      <c r="A80" s="8"/>
      <c r="B80" s="8"/>
      <c r="C80" s="8"/>
      <c r="D80" s="8"/>
      <c r="E80" s="8" t="str">
        <f aca="false">IF(AND(C80&lt;&gt;"",D80&lt;&gt;""),IF(TIMEVALUE(D80)&gt;TIMEVALUE(C80),(TIMEVALUE(D80)-TIMEVALUE(C80))*24,(1-TIMEVALUE(C80)+TIMEVALUE(D80))*24),"")</f>
        <v/>
      </c>
      <c r="F80" s="8"/>
      <c r="G80" s="8"/>
      <c r="H80" s="8"/>
      <c r="I80" s="8"/>
      <c r="J80" s="8"/>
      <c r="K80" s="8"/>
      <c r="L80" s="8" t="str">
        <f aca="false">IF(B80="","",ROUND(MAX(0,30-ABS(E80-7.5)*10)+MAX(0,20-ABS(F80-20)*2)+MAX(0,15-ABS(G80-22)*1.5)+MAX(0,10-ABS(H80-52)/2)+IF(I80="","",MAX(0,10-MAX(0,I80-5)*2))+IF(J80="yes",10,IF(J80="manual",5,0))+MIN(5,K80*0.5),0))</f>
        <v/>
      </c>
    </row>
    <row r="81" customFormat="false" ht="15" hidden="false" customHeight="false" outlineLevel="0" collapsed="false">
      <c r="A81" s="7"/>
      <c r="B81" s="7"/>
      <c r="C81" s="7"/>
      <c r="D81" s="7"/>
      <c r="E81" s="7" t="str">
        <f aca="false">IF(AND(C81&lt;&gt;"",D81&lt;&gt;""),IF(TIMEVALUE(D81)&gt;TIMEVALUE(C81),(TIMEVALUE(D81)-TIMEVALUE(C81))*24,(1-TIMEVALUE(C81)+TIMEVALUE(D81))*24),"")</f>
        <v/>
      </c>
      <c r="F81" s="7"/>
      <c r="G81" s="7"/>
      <c r="H81" s="7"/>
      <c r="I81" s="7"/>
      <c r="J81" s="7"/>
      <c r="K81" s="7"/>
      <c r="L81" s="7" t="str">
        <f aca="false">IF(B81="","",ROUND(MAX(0,30-ABS(E81-7.5)*10)+MAX(0,20-ABS(F81-20)*2)+MAX(0,15-ABS(G81-22)*1.5)+MAX(0,10-ABS(H81-52)/2)+IF(I81="","",MAX(0,10-MAX(0,I81-5)*2))+IF(J81="yes",10,IF(J81="manual",5,0))+MIN(5,K81*0.5),0))</f>
        <v/>
      </c>
    </row>
    <row r="82" customFormat="false" ht="15" hidden="false" customHeight="false" outlineLevel="0" collapsed="false">
      <c r="A82" s="8"/>
      <c r="B82" s="8"/>
      <c r="C82" s="8"/>
      <c r="D82" s="8"/>
      <c r="E82" s="8" t="str">
        <f aca="false">IF(AND(C82&lt;&gt;"",D82&lt;&gt;""),IF(TIMEVALUE(D82)&gt;TIMEVALUE(C82),(TIMEVALUE(D82)-TIMEVALUE(C82))*24,(1-TIMEVALUE(C82)+TIMEVALUE(D82))*24),"")</f>
        <v/>
      </c>
      <c r="F82" s="8"/>
      <c r="G82" s="8"/>
      <c r="H82" s="8"/>
      <c r="I82" s="8"/>
      <c r="J82" s="8"/>
      <c r="K82" s="8"/>
      <c r="L82" s="8" t="str">
        <f aca="false">IF(B82="","",ROUND(MAX(0,30-ABS(E82-7.5)*10)+MAX(0,20-ABS(F82-20)*2)+MAX(0,15-ABS(G82-22)*1.5)+MAX(0,10-ABS(H82-52)/2)+IF(I82="","",MAX(0,10-MAX(0,I82-5)*2))+IF(J82="yes",10,IF(J82="manual",5,0))+MIN(5,K82*0.5),0))</f>
        <v/>
      </c>
    </row>
    <row r="83" customFormat="false" ht="15" hidden="false" customHeight="false" outlineLevel="0" collapsed="false">
      <c r="A83" s="7"/>
      <c r="B83" s="7"/>
      <c r="C83" s="7"/>
      <c r="D83" s="7"/>
      <c r="E83" s="7" t="str">
        <f aca="false">IF(AND(C83&lt;&gt;"",D83&lt;&gt;""),IF(TIMEVALUE(D83)&gt;TIMEVALUE(C83),(TIMEVALUE(D83)-TIMEVALUE(C83))*24,(1-TIMEVALUE(C83)+TIMEVALUE(D83))*24),"")</f>
        <v/>
      </c>
      <c r="F83" s="7"/>
      <c r="G83" s="7"/>
      <c r="H83" s="7"/>
      <c r="I83" s="7"/>
      <c r="J83" s="7"/>
      <c r="K83" s="7"/>
      <c r="L83" s="7" t="str">
        <f aca="false">IF(B83="","",ROUND(MAX(0,30-ABS(E83-7.5)*10)+MAX(0,20-ABS(F83-20)*2)+MAX(0,15-ABS(G83-22)*1.5)+MAX(0,10-ABS(H83-52)/2)+IF(I83="","",MAX(0,10-MAX(0,I83-5)*2))+IF(J83="yes",10,IF(J83="manual",5,0))+MIN(5,K83*0.5),0))</f>
        <v/>
      </c>
    </row>
    <row r="84" customFormat="false" ht="15" hidden="false" customHeight="false" outlineLevel="0" collapsed="false">
      <c r="A84" s="8"/>
      <c r="B84" s="8"/>
      <c r="C84" s="8"/>
      <c r="D84" s="8"/>
      <c r="E84" s="8" t="str">
        <f aca="false">IF(AND(C84&lt;&gt;"",D84&lt;&gt;""),IF(TIMEVALUE(D84)&gt;TIMEVALUE(C84),(TIMEVALUE(D84)-TIMEVALUE(C84))*24,(1-TIMEVALUE(C84)+TIMEVALUE(D84))*24),"")</f>
        <v/>
      </c>
      <c r="F84" s="8"/>
      <c r="G84" s="8"/>
      <c r="H84" s="8"/>
      <c r="I84" s="8"/>
      <c r="J84" s="8"/>
      <c r="K84" s="8"/>
      <c r="L84" s="8" t="str">
        <f aca="false">IF(B84="","",ROUND(MAX(0,30-ABS(E84-7.5)*10)+MAX(0,20-ABS(F84-20)*2)+MAX(0,15-ABS(G84-22)*1.5)+MAX(0,10-ABS(H84-52)/2)+IF(I84="","",MAX(0,10-MAX(0,I84-5)*2))+IF(J84="yes",10,IF(J84="manual",5,0))+MIN(5,K84*0.5),0))</f>
        <v/>
      </c>
    </row>
    <row r="85" customFormat="false" ht="15" hidden="false" customHeight="false" outlineLevel="0" collapsed="false">
      <c r="A85" s="7"/>
      <c r="B85" s="7"/>
      <c r="C85" s="7"/>
      <c r="D85" s="7"/>
      <c r="E85" s="7" t="str">
        <f aca="false">IF(AND(C85&lt;&gt;"",D85&lt;&gt;""),IF(TIMEVALUE(D85)&gt;TIMEVALUE(C85),(TIMEVALUE(D85)-TIMEVALUE(C85))*24,(1-TIMEVALUE(C85)+TIMEVALUE(D85))*24),"")</f>
        <v/>
      </c>
      <c r="F85" s="7"/>
      <c r="G85" s="7"/>
      <c r="H85" s="7"/>
      <c r="I85" s="7"/>
      <c r="J85" s="7"/>
      <c r="K85" s="7"/>
      <c r="L85" s="7" t="str">
        <f aca="false">IF(B85="","",ROUND(MAX(0,30-ABS(E85-7.5)*10)+MAX(0,20-ABS(F85-20)*2)+MAX(0,15-ABS(G85-22)*1.5)+MAX(0,10-ABS(H85-52)/2)+IF(I85="","",MAX(0,10-MAX(0,I85-5)*2))+IF(J85="yes",10,IF(J85="manual",5,0))+MIN(5,K85*0.5),0))</f>
        <v/>
      </c>
    </row>
    <row r="86" customFormat="false" ht="15" hidden="false" customHeight="false" outlineLevel="0" collapsed="false">
      <c r="A86" s="8"/>
      <c r="B86" s="8"/>
      <c r="C86" s="8"/>
      <c r="D86" s="8"/>
      <c r="E86" s="8" t="str">
        <f aca="false">IF(AND(C86&lt;&gt;"",D86&lt;&gt;""),IF(TIMEVALUE(D86)&gt;TIMEVALUE(C86),(TIMEVALUE(D86)-TIMEVALUE(C86))*24,(1-TIMEVALUE(C86)+TIMEVALUE(D86))*24),"")</f>
        <v/>
      </c>
      <c r="F86" s="8"/>
      <c r="G86" s="8"/>
      <c r="H86" s="8"/>
      <c r="I86" s="8"/>
      <c r="J86" s="8"/>
      <c r="K86" s="8"/>
      <c r="L86" s="8" t="str">
        <f aca="false">IF(B86="","",ROUND(MAX(0,30-ABS(E86-7.5)*10)+MAX(0,20-ABS(F86-20)*2)+MAX(0,15-ABS(G86-22)*1.5)+MAX(0,10-ABS(H86-52)/2)+IF(I86="","",MAX(0,10-MAX(0,I86-5)*2))+IF(J86="yes",10,IF(J86="manual",5,0))+MIN(5,K86*0.5),0))</f>
        <v/>
      </c>
    </row>
    <row r="87" customFormat="false" ht="15" hidden="false" customHeight="false" outlineLevel="0" collapsed="false">
      <c r="A87" s="7"/>
      <c r="B87" s="7"/>
      <c r="C87" s="7"/>
      <c r="D87" s="7"/>
      <c r="E87" s="7" t="str">
        <f aca="false">IF(AND(C87&lt;&gt;"",D87&lt;&gt;""),IF(TIMEVALUE(D87)&gt;TIMEVALUE(C87),(TIMEVALUE(D87)-TIMEVALUE(C87))*24,(1-TIMEVALUE(C87)+TIMEVALUE(D87))*24),"")</f>
        <v/>
      </c>
      <c r="F87" s="7"/>
      <c r="G87" s="7"/>
      <c r="H87" s="7"/>
      <c r="I87" s="7"/>
      <c r="J87" s="7"/>
      <c r="K87" s="7"/>
      <c r="L87" s="7" t="str">
        <f aca="false">IF(B87="","",ROUND(MAX(0,30-ABS(E87-7.5)*10)+MAX(0,20-ABS(F87-20)*2)+MAX(0,15-ABS(G87-22)*1.5)+MAX(0,10-ABS(H87-52)/2)+IF(I87="","",MAX(0,10-MAX(0,I87-5)*2))+IF(J87="yes",10,IF(J87="manual",5,0))+MIN(5,K87*0.5),0))</f>
        <v/>
      </c>
    </row>
    <row r="88" customFormat="false" ht="15" hidden="false" customHeight="false" outlineLevel="0" collapsed="false">
      <c r="A88" s="8"/>
      <c r="B88" s="8"/>
      <c r="C88" s="8"/>
      <c r="D88" s="8"/>
      <c r="E88" s="8" t="str">
        <f aca="false">IF(AND(C88&lt;&gt;"",D88&lt;&gt;""),IF(TIMEVALUE(D88)&gt;TIMEVALUE(C88),(TIMEVALUE(D88)-TIMEVALUE(C88))*24,(1-TIMEVALUE(C88)+TIMEVALUE(D88))*24),"")</f>
        <v/>
      </c>
      <c r="F88" s="8"/>
      <c r="G88" s="8"/>
      <c r="H88" s="8"/>
      <c r="I88" s="8"/>
      <c r="J88" s="8"/>
      <c r="K88" s="8"/>
      <c r="L88" s="8" t="str">
        <f aca="false">IF(B88="","",ROUND(MAX(0,30-ABS(E88-7.5)*10)+MAX(0,20-ABS(F88-20)*2)+MAX(0,15-ABS(G88-22)*1.5)+MAX(0,10-ABS(H88-52)/2)+IF(I88="","",MAX(0,10-MAX(0,I88-5)*2))+IF(J88="yes",10,IF(J88="manual",5,0))+MIN(5,K88*0.5),0))</f>
        <v/>
      </c>
    </row>
    <row r="89" customFormat="false" ht="15" hidden="false" customHeight="false" outlineLevel="0" collapsed="false">
      <c r="A89" s="7"/>
      <c r="B89" s="7"/>
      <c r="C89" s="7"/>
      <c r="D89" s="7"/>
      <c r="E89" s="7" t="str">
        <f aca="false">IF(AND(C89&lt;&gt;"",D89&lt;&gt;""),IF(TIMEVALUE(D89)&gt;TIMEVALUE(C89),(TIMEVALUE(D89)-TIMEVALUE(C89))*24,(1-TIMEVALUE(C89)+TIMEVALUE(D89))*24),"")</f>
        <v/>
      </c>
      <c r="F89" s="7"/>
      <c r="G89" s="7"/>
      <c r="H89" s="7"/>
      <c r="I89" s="7"/>
      <c r="J89" s="7"/>
      <c r="K89" s="7"/>
      <c r="L89" s="7" t="str">
        <f aca="false">IF(B89="","",ROUND(MAX(0,30-ABS(E89-7.5)*10)+MAX(0,20-ABS(F89-20)*2)+MAX(0,15-ABS(G89-22)*1.5)+MAX(0,10-ABS(H89-52)/2)+IF(I89="","",MAX(0,10-MAX(0,I89-5)*2))+IF(J89="yes",10,IF(J89="manual",5,0))+MIN(5,K89*0.5),0))</f>
        <v/>
      </c>
    </row>
    <row r="90" customFormat="false" ht="15" hidden="false" customHeight="false" outlineLevel="0" collapsed="false">
      <c r="A90" s="8"/>
      <c r="B90" s="8"/>
      <c r="C90" s="8"/>
      <c r="D90" s="8"/>
      <c r="E90" s="8" t="str">
        <f aca="false">IF(AND(C90&lt;&gt;"",D90&lt;&gt;""),IF(TIMEVALUE(D90)&gt;TIMEVALUE(C90),(TIMEVALUE(D90)-TIMEVALUE(C90))*24,(1-TIMEVALUE(C90)+TIMEVALUE(D90))*24),"")</f>
        <v/>
      </c>
      <c r="F90" s="8"/>
      <c r="G90" s="8"/>
      <c r="H90" s="8"/>
      <c r="I90" s="8"/>
      <c r="J90" s="8"/>
      <c r="K90" s="8"/>
      <c r="L90" s="8" t="str">
        <f aca="false">IF(B90="","",ROUND(MAX(0,30-ABS(E90-7.5)*10)+MAX(0,20-ABS(F90-20)*2)+MAX(0,15-ABS(G90-22)*1.5)+MAX(0,10-ABS(H90-52)/2)+IF(I90="","",MAX(0,10-MAX(0,I90-5)*2))+IF(J90="yes",10,IF(J90="manual",5,0))+MIN(5,K90*0.5),0))</f>
        <v/>
      </c>
    </row>
    <row r="91" customFormat="false" ht="15" hidden="false" customHeight="false" outlineLevel="0" collapsed="false">
      <c r="A91" s="7"/>
      <c r="B91" s="7"/>
      <c r="C91" s="7"/>
      <c r="D91" s="7"/>
      <c r="E91" s="7" t="str">
        <f aca="false">IF(AND(C91&lt;&gt;"",D91&lt;&gt;""),IF(TIMEVALUE(D91)&gt;TIMEVALUE(C91),(TIMEVALUE(D91)-TIMEVALUE(C91))*24,(1-TIMEVALUE(C91)+TIMEVALUE(D91))*24),"")</f>
        <v/>
      </c>
      <c r="F91" s="7"/>
      <c r="G91" s="7"/>
      <c r="H91" s="7"/>
      <c r="I91" s="7"/>
      <c r="J91" s="7"/>
      <c r="K91" s="7"/>
      <c r="L91" s="7" t="str">
        <f aca="false">IF(B91="","",ROUND(MAX(0,30-ABS(E91-7.5)*10)+MAX(0,20-ABS(F91-20)*2)+MAX(0,15-ABS(G91-22)*1.5)+MAX(0,10-ABS(H91-52)/2)+IF(I91="","",MAX(0,10-MAX(0,I91-5)*2))+IF(J91="yes",10,IF(J91="manual",5,0))+MIN(5,K91*0.5),0))</f>
        <v/>
      </c>
    </row>
    <row r="92" customFormat="false" ht="15" hidden="false" customHeight="false" outlineLevel="0" collapsed="false">
      <c r="A92" s="8"/>
      <c r="B92" s="8"/>
      <c r="C92" s="8"/>
      <c r="D92" s="8"/>
      <c r="E92" s="8" t="str">
        <f aca="false">IF(AND(C92&lt;&gt;"",D92&lt;&gt;""),IF(TIMEVALUE(D92)&gt;TIMEVALUE(C92),(TIMEVALUE(D92)-TIMEVALUE(C92))*24,(1-TIMEVALUE(C92)+TIMEVALUE(D92))*24),"")</f>
        <v/>
      </c>
      <c r="F92" s="8"/>
      <c r="G92" s="8"/>
      <c r="H92" s="8"/>
      <c r="I92" s="8"/>
      <c r="J92" s="8"/>
      <c r="K92" s="8"/>
      <c r="L92" s="8" t="str">
        <f aca="false">IF(B92="","",ROUND(MAX(0,30-ABS(E92-7.5)*10)+MAX(0,20-ABS(F92-20)*2)+MAX(0,15-ABS(G92-22)*1.5)+MAX(0,10-ABS(H92-52)/2)+IF(I92="","",MAX(0,10-MAX(0,I92-5)*2))+IF(J92="yes",10,IF(J92="manual",5,0))+MIN(5,K92*0.5),0))</f>
        <v/>
      </c>
    </row>
    <row r="93" customFormat="false" ht="15" hidden="false" customHeight="false" outlineLevel="0" collapsed="false">
      <c r="A93" s="7"/>
      <c r="B93" s="7"/>
      <c r="C93" s="7"/>
      <c r="D93" s="7"/>
      <c r="E93" s="7" t="str">
        <f aca="false">IF(AND(C93&lt;&gt;"",D93&lt;&gt;""),IF(TIMEVALUE(D93)&gt;TIMEVALUE(C93),(TIMEVALUE(D93)-TIMEVALUE(C93))*24,(1-TIMEVALUE(C93)+TIMEVALUE(D93))*24),"")</f>
        <v/>
      </c>
      <c r="F93" s="7"/>
      <c r="G93" s="7"/>
      <c r="H93" s="7"/>
      <c r="I93" s="7"/>
      <c r="J93" s="7"/>
      <c r="K93" s="7"/>
      <c r="L93" s="7" t="str">
        <f aca="false">IF(B93="","",ROUND(MAX(0,30-ABS(E93-7.5)*10)+MAX(0,20-ABS(F93-20)*2)+MAX(0,15-ABS(G93-22)*1.5)+MAX(0,10-ABS(H93-52)/2)+IF(I93="","",MAX(0,10-MAX(0,I93-5)*2))+IF(J93="yes",10,IF(J93="manual",5,0))+MIN(5,K93*0.5),0))</f>
        <v/>
      </c>
    </row>
    <row r="94" customFormat="false" ht="15" hidden="false" customHeight="false" outlineLevel="0" collapsed="false">
      <c r="A94" s="8"/>
      <c r="B94" s="8"/>
      <c r="C94" s="8"/>
      <c r="D94" s="8"/>
      <c r="E94" s="8" t="str">
        <f aca="false">IF(AND(C94&lt;&gt;"",D94&lt;&gt;""),IF(TIMEVALUE(D94)&gt;TIMEVALUE(C94),(TIMEVALUE(D94)-TIMEVALUE(C94))*24,(1-TIMEVALUE(C94)+TIMEVALUE(D94))*24),"")</f>
        <v/>
      </c>
      <c r="F94" s="8"/>
      <c r="G94" s="8"/>
      <c r="H94" s="8"/>
      <c r="I94" s="8"/>
      <c r="J94" s="8"/>
      <c r="K94" s="8"/>
      <c r="L94" s="8" t="str">
        <f aca="false">IF(B94="","",ROUND(MAX(0,30-ABS(E94-7.5)*10)+MAX(0,20-ABS(F94-20)*2)+MAX(0,15-ABS(G94-22)*1.5)+MAX(0,10-ABS(H94-52)/2)+IF(I94="","",MAX(0,10-MAX(0,I94-5)*2))+IF(J94="yes",10,IF(J94="manual",5,0))+MIN(5,K94*0.5),0))</f>
        <v/>
      </c>
    </row>
    <row r="95" customFormat="false" ht="15" hidden="false" customHeight="false" outlineLevel="0" collapsed="false">
      <c r="A95" s="7"/>
      <c r="B95" s="7"/>
      <c r="C95" s="7"/>
      <c r="D95" s="7"/>
      <c r="E95" s="7" t="str">
        <f aca="false">IF(AND(C95&lt;&gt;"",D95&lt;&gt;""),IF(TIMEVALUE(D95)&gt;TIMEVALUE(C95),(TIMEVALUE(D95)-TIMEVALUE(C95))*24,(1-TIMEVALUE(C95)+TIMEVALUE(D95))*24),"")</f>
        <v/>
      </c>
      <c r="F95" s="7"/>
      <c r="G95" s="7"/>
      <c r="H95" s="7"/>
      <c r="I95" s="7"/>
      <c r="J95" s="7"/>
      <c r="K95" s="7"/>
      <c r="L95" s="7" t="str">
        <f aca="false">IF(B95="","",ROUND(MAX(0,30-ABS(E95-7.5)*10)+MAX(0,20-ABS(F95-20)*2)+MAX(0,15-ABS(G95-22)*1.5)+MAX(0,10-ABS(H95-52)/2)+IF(I95="","",MAX(0,10-MAX(0,I95-5)*2))+IF(J95="yes",10,IF(J95="manual",5,0))+MIN(5,K95*0.5),0))</f>
        <v/>
      </c>
    </row>
    <row r="96" customFormat="false" ht="15" hidden="false" customHeight="false" outlineLevel="0" collapsed="false">
      <c r="A96" s="8"/>
      <c r="B96" s="8"/>
      <c r="C96" s="8"/>
      <c r="D96" s="8"/>
      <c r="E96" s="8" t="str">
        <f aca="false">IF(AND(C96&lt;&gt;"",D96&lt;&gt;""),IF(TIMEVALUE(D96)&gt;TIMEVALUE(C96),(TIMEVALUE(D96)-TIMEVALUE(C96))*24,(1-TIMEVALUE(C96)+TIMEVALUE(D96))*24),"")</f>
        <v/>
      </c>
      <c r="F96" s="8"/>
      <c r="G96" s="8"/>
      <c r="H96" s="8"/>
      <c r="I96" s="8"/>
      <c r="J96" s="8"/>
      <c r="K96" s="8"/>
      <c r="L96" s="8" t="str">
        <f aca="false">IF(B96="","",ROUND(MAX(0,30-ABS(E96-7.5)*10)+MAX(0,20-ABS(F96-20)*2)+MAX(0,15-ABS(G96-22)*1.5)+MAX(0,10-ABS(H96-52)/2)+IF(I96="","",MAX(0,10-MAX(0,I96-5)*2))+IF(J96="yes",10,IF(J96="manual",5,0))+MIN(5,K96*0.5),0))</f>
        <v/>
      </c>
    </row>
    <row r="97" customFormat="false" ht="15" hidden="false" customHeight="false" outlineLevel="0" collapsed="false">
      <c r="A97" s="7"/>
      <c r="B97" s="7"/>
      <c r="C97" s="7"/>
      <c r="D97" s="7"/>
      <c r="E97" s="7" t="str">
        <f aca="false">IF(AND(C97&lt;&gt;"",D97&lt;&gt;""),IF(TIMEVALUE(D97)&gt;TIMEVALUE(C97),(TIMEVALUE(D97)-TIMEVALUE(C97))*24,(1-TIMEVALUE(C97)+TIMEVALUE(D97))*24),"")</f>
        <v/>
      </c>
      <c r="F97" s="7"/>
      <c r="G97" s="7"/>
      <c r="H97" s="7"/>
      <c r="I97" s="7"/>
      <c r="J97" s="7"/>
      <c r="K97" s="7"/>
      <c r="L97" s="7" t="str">
        <f aca="false">IF(B97="","",ROUND(MAX(0,30-ABS(E97-7.5)*10)+MAX(0,20-ABS(F97-20)*2)+MAX(0,15-ABS(G97-22)*1.5)+MAX(0,10-ABS(H97-52)/2)+IF(I97="","",MAX(0,10-MAX(0,I97-5)*2))+IF(J97="yes",10,IF(J97="manual",5,0))+MIN(5,K97*0.5),0))</f>
        <v/>
      </c>
    </row>
    <row r="98" customFormat="false" ht="15" hidden="false" customHeight="false" outlineLevel="0" collapsed="false">
      <c r="A98" s="8"/>
      <c r="B98" s="8"/>
      <c r="C98" s="8"/>
      <c r="D98" s="8"/>
      <c r="E98" s="8" t="str">
        <f aca="false">IF(AND(C98&lt;&gt;"",D98&lt;&gt;""),IF(TIMEVALUE(D98)&gt;TIMEVALUE(C98),(TIMEVALUE(D98)-TIMEVALUE(C98))*24,(1-TIMEVALUE(C98)+TIMEVALUE(D98))*24),"")</f>
        <v/>
      </c>
      <c r="F98" s="8"/>
      <c r="G98" s="8"/>
      <c r="H98" s="8"/>
      <c r="I98" s="8"/>
      <c r="J98" s="8"/>
      <c r="K98" s="8"/>
      <c r="L98" s="8" t="str">
        <f aca="false">IF(B98="","",ROUND(MAX(0,30-ABS(E98-7.5)*10)+MAX(0,20-ABS(F98-20)*2)+MAX(0,15-ABS(G98-22)*1.5)+MAX(0,10-ABS(H98-52)/2)+IF(I98="","",MAX(0,10-MAX(0,I98-5)*2))+IF(J98="yes",10,IF(J98="manual",5,0))+MIN(5,K98*0.5),0))</f>
        <v/>
      </c>
    </row>
    <row r="99" customFormat="false" ht="15" hidden="false" customHeight="false" outlineLevel="0" collapsed="false">
      <c r="A99" s="7"/>
      <c r="B99" s="7"/>
      <c r="C99" s="7"/>
      <c r="D99" s="7"/>
      <c r="E99" s="7" t="str">
        <f aca="false">IF(AND(C99&lt;&gt;"",D99&lt;&gt;""),IF(TIMEVALUE(D99)&gt;TIMEVALUE(C99),(TIMEVALUE(D99)-TIMEVALUE(C99))*24,(1-TIMEVALUE(C99)+TIMEVALUE(D99))*24),"")</f>
        <v/>
      </c>
      <c r="F99" s="7"/>
      <c r="G99" s="7"/>
      <c r="H99" s="7"/>
      <c r="I99" s="7"/>
      <c r="J99" s="7"/>
      <c r="K99" s="7"/>
      <c r="L99" s="7" t="str">
        <f aca="false">IF(B99="","",ROUND(MAX(0,30-ABS(E99-7.5)*10)+MAX(0,20-ABS(F99-20)*2)+MAX(0,15-ABS(G99-22)*1.5)+MAX(0,10-ABS(H99-52)/2)+IF(I99="","",MAX(0,10-MAX(0,I99-5)*2))+IF(J99="yes",10,IF(J99="manual",5,0))+MIN(5,K99*0.5),0))</f>
        <v/>
      </c>
    </row>
    <row r="100" customFormat="false" ht="15" hidden="false" customHeight="false" outlineLevel="0" collapsed="false">
      <c r="A100" s="8"/>
      <c r="B100" s="8"/>
      <c r="C100" s="8"/>
      <c r="D100" s="8"/>
      <c r="E100" s="8" t="str">
        <f aca="false">IF(AND(C100&lt;&gt;"",D100&lt;&gt;""),IF(TIMEVALUE(D100)&gt;TIMEVALUE(C100),(TIMEVALUE(D100)-TIMEVALUE(C100))*24,(1-TIMEVALUE(C100)+TIMEVALUE(D100))*24),"")</f>
        <v/>
      </c>
      <c r="F100" s="8"/>
      <c r="G100" s="8"/>
      <c r="H100" s="8"/>
      <c r="I100" s="8"/>
      <c r="J100" s="8"/>
      <c r="K100" s="8"/>
      <c r="L100" s="8" t="str">
        <f aca="false">IF(B100="","",ROUND(MAX(0,30-ABS(E100-7.5)*10)+MAX(0,20-ABS(F100-20)*2)+MAX(0,15-ABS(G100-22)*1.5)+MAX(0,10-ABS(H100-52)/2)+IF(I100="","",MAX(0,10-MAX(0,I100-5)*2))+IF(J100="yes",10,IF(J100="manual",5,0))+MIN(5,K100*0.5),0))</f>
        <v/>
      </c>
    </row>
    <row r="101" customFormat="false" ht="15" hidden="false" customHeight="false" outlineLevel="0" collapsed="false">
      <c r="A101" s="7"/>
      <c r="B101" s="7"/>
      <c r="C101" s="7"/>
      <c r="D101" s="7"/>
      <c r="E101" s="7" t="str">
        <f aca="false">IF(AND(C101&lt;&gt;"",D101&lt;&gt;""),IF(TIMEVALUE(D101)&gt;TIMEVALUE(C101),(TIMEVALUE(D101)-TIMEVALUE(C101))*24,(1-TIMEVALUE(C101)+TIMEVALUE(D101))*24),"")</f>
        <v/>
      </c>
      <c r="F101" s="7"/>
      <c r="G101" s="7"/>
      <c r="H101" s="7"/>
      <c r="I101" s="7"/>
      <c r="J101" s="7"/>
      <c r="K101" s="7"/>
      <c r="L101" s="7" t="str">
        <f aca="false">IF(B101="","",ROUND(MAX(0,30-ABS(E101-7.5)*10)+MAX(0,20-ABS(F101-20)*2)+MAX(0,15-ABS(G101-22)*1.5)+MAX(0,10-ABS(H101-52)/2)+IF(I101="","",MAX(0,10-MAX(0,I101-5)*2))+IF(J101="yes",10,IF(J101="manual",5,0))+MIN(5,K101*0.5),0))</f>
        <v/>
      </c>
    </row>
    <row r="102" customFormat="false" ht="15" hidden="false" customHeight="false" outlineLevel="0" collapsed="false">
      <c r="A102" s="8"/>
      <c r="B102" s="8"/>
      <c r="C102" s="8"/>
      <c r="D102" s="8"/>
      <c r="E102" s="8" t="str">
        <f aca="false">IF(AND(C102&lt;&gt;"",D102&lt;&gt;""),IF(TIMEVALUE(D102)&gt;TIMEVALUE(C102),(TIMEVALUE(D102)-TIMEVALUE(C102))*24,(1-TIMEVALUE(C102)+TIMEVALUE(D102))*24),"")</f>
        <v/>
      </c>
      <c r="F102" s="8"/>
      <c r="G102" s="8"/>
      <c r="H102" s="8"/>
      <c r="I102" s="8"/>
      <c r="J102" s="8"/>
      <c r="K102" s="8"/>
      <c r="L102" s="8" t="str">
        <f aca="false">IF(B102="","",ROUND(MAX(0,30-ABS(E102-7.5)*10)+MAX(0,20-ABS(F102-20)*2)+MAX(0,15-ABS(G102-22)*1.5)+MAX(0,10-ABS(H102-52)/2)+IF(I102="","",MAX(0,10-MAX(0,I102-5)*2))+IF(J102="yes",10,IF(J102="manual",5,0))+MIN(5,K102*0.5),0))</f>
        <v/>
      </c>
    </row>
    <row r="103" customFormat="false" ht="15" hidden="false" customHeight="false" outlineLevel="0" collapsed="false">
      <c r="A103" s="7"/>
      <c r="B103" s="7"/>
      <c r="C103" s="7"/>
      <c r="D103" s="7"/>
      <c r="E103" s="7" t="str">
        <f aca="false">IF(AND(C103&lt;&gt;"",D103&lt;&gt;""),IF(TIMEVALUE(D103)&gt;TIMEVALUE(C103),(TIMEVALUE(D103)-TIMEVALUE(C103))*24,(1-TIMEVALUE(C103)+TIMEVALUE(D103))*24),"")</f>
        <v/>
      </c>
      <c r="F103" s="7"/>
      <c r="G103" s="7"/>
      <c r="H103" s="7"/>
      <c r="I103" s="7"/>
      <c r="J103" s="7"/>
      <c r="K103" s="7"/>
      <c r="L103" s="7" t="str">
        <f aca="false">IF(B103="","",ROUND(MAX(0,30-ABS(E103-7.5)*10)+MAX(0,20-ABS(F103-20)*2)+MAX(0,15-ABS(G103-22)*1.5)+MAX(0,10-ABS(H103-52)/2)+IF(I103="","",MAX(0,10-MAX(0,I103-5)*2))+IF(J103="yes",10,IF(J103="manual",5,0))+MIN(5,K103*0.5),0))</f>
        <v/>
      </c>
    </row>
    <row r="104" customFormat="false" ht="15" hidden="false" customHeight="false" outlineLevel="0" collapsed="false">
      <c r="A104" s="8"/>
      <c r="B104" s="8"/>
      <c r="C104" s="8"/>
      <c r="D104" s="8"/>
      <c r="E104" s="8" t="str">
        <f aca="false">IF(AND(C104&lt;&gt;"",D104&lt;&gt;""),IF(TIMEVALUE(D104)&gt;TIMEVALUE(C104),(TIMEVALUE(D104)-TIMEVALUE(C104))*24,(1-TIMEVALUE(C104)+TIMEVALUE(D104))*24),"")</f>
        <v/>
      </c>
      <c r="F104" s="8"/>
      <c r="G104" s="8"/>
      <c r="H104" s="8"/>
      <c r="I104" s="8"/>
      <c r="J104" s="8"/>
      <c r="K104" s="8"/>
      <c r="L104" s="8" t="str">
        <f aca="false">IF(B104="","",ROUND(MAX(0,30-ABS(E104-7.5)*10)+MAX(0,20-ABS(F104-20)*2)+MAX(0,15-ABS(G104-22)*1.5)+MAX(0,10-ABS(H104-52)/2)+IF(I104="","",MAX(0,10-MAX(0,I104-5)*2))+IF(J104="yes",10,IF(J104="manual",5,0))+MIN(5,K104*0.5),0))</f>
        <v/>
      </c>
    </row>
    <row r="105" customFormat="false" ht="15" hidden="false" customHeight="false" outlineLevel="0" collapsed="false">
      <c r="A105" s="7"/>
      <c r="B105" s="7"/>
      <c r="C105" s="7"/>
      <c r="D105" s="7"/>
      <c r="E105" s="7" t="str">
        <f aca="false">IF(AND(C105&lt;&gt;"",D105&lt;&gt;""),IF(TIMEVALUE(D105)&gt;TIMEVALUE(C105),(TIMEVALUE(D105)-TIMEVALUE(C105))*24,(1-TIMEVALUE(C105)+TIMEVALUE(D105))*24),"")</f>
        <v/>
      </c>
      <c r="F105" s="7"/>
      <c r="G105" s="7"/>
      <c r="H105" s="7"/>
      <c r="I105" s="7"/>
      <c r="J105" s="7"/>
      <c r="K105" s="7"/>
      <c r="L105" s="7" t="str">
        <f aca="false">IF(B105="","",ROUND(MAX(0,30-ABS(E105-7.5)*10)+MAX(0,20-ABS(F105-20)*2)+MAX(0,15-ABS(G105-22)*1.5)+MAX(0,10-ABS(H105-52)/2)+IF(I105="","",MAX(0,10-MAX(0,I105-5)*2))+IF(J105="yes",10,IF(J105="manual",5,0))+MIN(5,K105*0.5),0))</f>
        <v/>
      </c>
    </row>
    <row r="106" customFormat="false" ht="15" hidden="false" customHeight="false" outlineLevel="0" collapsed="false">
      <c r="A106" s="8"/>
      <c r="B106" s="8"/>
      <c r="C106" s="8"/>
      <c r="D106" s="8"/>
      <c r="E106" s="8" t="str">
        <f aca="false">IF(AND(C106&lt;&gt;"",D106&lt;&gt;""),IF(TIMEVALUE(D106)&gt;TIMEVALUE(C106),(TIMEVALUE(D106)-TIMEVALUE(C106))*24,(1-TIMEVALUE(C106)+TIMEVALUE(D106))*24),"")</f>
        <v/>
      </c>
      <c r="F106" s="8"/>
      <c r="G106" s="8"/>
      <c r="H106" s="8"/>
      <c r="I106" s="8"/>
      <c r="J106" s="8"/>
      <c r="K106" s="8"/>
      <c r="L106" s="8" t="str">
        <f aca="false">IF(B106="","",ROUND(MAX(0,30-ABS(E106-7.5)*10)+MAX(0,20-ABS(F106-20)*2)+MAX(0,15-ABS(G106-22)*1.5)+MAX(0,10-ABS(H106-52)/2)+IF(I106="","",MAX(0,10-MAX(0,I106-5)*2))+IF(J106="yes",10,IF(J106="manual",5,0))+MIN(5,K106*0.5),0))</f>
        <v/>
      </c>
    </row>
    <row r="107" customFormat="false" ht="15" hidden="false" customHeight="false" outlineLevel="0" collapsed="false">
      <c r="A107" s="7"/>
      <c r="B107" s="7"/>
      <c r="C107" s="7"/>
      <c r="D107" s="7"/>
      <c r="E107" s="7" t="str">
        <f aca="false">IF(AND(C107&lt;&gt;"",D107&lt;&gt;""),IF(TIMEVALUE(D107)&gt;TIMEVALUE(C107),(TIMEVALUE(D107)-TIMEVALUE(C107))*24,(1-TIMEVALUE(C107)+TIMEVALUE(D107))*24),"")</f>
        <v/>
      </c>
      <c r="F107" s="7"/>
      <c r="G107" s="7"/>
      <c r="H107" s="7"/>
      <c r="I107" s="7"/>
      <c r="J107" s="7"/>
      <c r="K107" s="7"/>
      <c r="L107" s="7" t="str">
        <f aca="false">IF(B107="","",ROUND(MAX(0,30-ABS(E107-7.5)*10)+MAX(0,20-ABS(F107-20)*2)+MAX(0,15-ABS(G107-22)*1.5)+MAX(0,10-ABS(H107-52)/2)+IF(I107="","",MAX(0,10-MAX(0,I107-5)*2))+IF(J107="yes",10,IF(J107="manual",5,0))+MIN(5,K107*0.5),0))</f>
        <v/>
      </c>
    </row>
    <row r="108" customFormat="false" ht="15" hidden="false" customHeight="false" outlineLevel="0" collapsed="false">
      <c r="A108" s="8"/>
      <c r="B108" s="8"/>
      <c r="C108" s="8"/>
      <c r="D108" s="8"/>
      <c r="E108" s="8" t="str">
        <f aca="false">IF(AND(C108&lt;&gt;"",D108&lt;&gt;""),IF(TIMEVALUE(D108)&gt;TIMEVALUE(C108),(TIMEVALUE(D108)-TIMEVALUE(C108))*24,(1-TIMEVALUE(C108)+TIMEVALUE(D108))*24),"")</f>
        <v/>
      </c>
      <c r="F108" s="8"/>
      <c r="G108" s="8"/>
      <c r="H108" s="8"/>
      <c r="I108" s="8"/>
      <c r="J108" s="8"/>
      <c r="K108" s="8"/>
      <c r="L108" s="8" t="str">
        <f aca="false">IF(B108="","",ROUND(MAX(0,30-ABS(E108-7.5)*10)+MAX(0,20-ABS(F108-20)*2)+MAX(0,15-ABS(G108-22)*1.5)+MAX(0,10-ABS(H108-52)/2)+IF(I108="","",MAX(0,10-MAX(0,I108-5)*2))+IF(J108="yes",10,IF(J108="manual",5,0))+MIN(5,K108*0.5),0))</f>
        <v/>
      </c>
    </row>
    <row r="109" customFormat="false" ht="15" hidden="false" customHeight="false" outlineLevel="0" collapsed="false">
      <c r="A109" s="7"/>
      <c r="B109" s="7"/>
      <c r="C109" s="7"/>
      <c r="D109" s="7"/>
      <c r="E109" s="7" t="str">
        <f aca="false">IF(AND(C109&lt;&gt;"",D109&lt;&gt;""),IF(TIMEVALUE(D109)&gt;TIMEVALUE(C109),(TIMEVALUE(D109)-TIMEVALUE(C109))*24,(1-TIMEVALUE(C109)+TIMEVALUE(D109))*24),"")</f>
        <v/>
      </c>
      <c r="F109" s="7"/>
      <c r="G109" s="7"/>
      <c r="H109" s="7"/>
      <c r="I109" s="7"/>
      <c r="J109" s="7"/>
      <c r="K109" s="7"/>
      <c r="L109" s="7" t="str">
        <f aca="false">IF(B109="","",ROUND(MAX(0,30-ABS(E109-7.5)*10)+MAX(0,20-ABS(F109-20)*2)+MAX(0,15-ABS(G109-22)*1.5)+MAX(0,10-ABS(H109-52)/2)+IF(I109="","",MAX(0,10-MAX(0,I109-5)*2))+IF(J109="yes",10,IF(J109="manual",5,0))+MIN(5,K109*0.5),0))</f>
        <v/>
      </c>
    </row>
    <row r="110" customFormat="false" ht="15" hidden="false" customHeight="false" outlineLevel="0" collapsed="false">
      <c r="A110" s="8"/>
      <c r="B110" s="8"/>
      <c r="C110" s="8"/>
      <c r="D110" s="8"/>
      <c r="E110" s="8" t="str">
        <f aca="false">IF(AND(C110&lt;&gt;"",D110&lt;&gt;""),IF(TIMEVALUE(D110)&gt;TIMEVALUE(C110),(TIMEVALUE(D110)-TIMEVALUE(C110))*24,(1-TIMEVALUE(C110)+TIMEVALUE(D110))*24),"")</f>
        <v/>
      </c>
      <c r="F110" s="8"/>
      <c r="G110" s="8"/>
      <c r="H110" s="8"/>
      <c r="I110" s="8"/>
      <c r="J110" s="8"/>
      <c r="K110" s="8"/>
      <c r="L110" s="8" t="str">
        <f aca="false">IF(B110="","",ROUND(MAX(0,30-ABS(E110-7.5)*10)+MAX(0,20-ABS(F110-20)*2)+MAX(0,15-ABS(G110-22)*1.5)+MAX(0,10-ABS(H110-52)/2)+IF(I110="","",MAX(0,10-MAX(0,I110-5)*2))+IF(J110="yes",10,IF(J110="manual",5,0))+MIN(5,K110*0.5),0))</f>
        <v/>
      </c>
    </row>
    <row r="111" customFormat="false" ht="15" hidden="false" customHeight="false" outlineLevel="0" collapsed="false">
      <c r="A111" s="7"/>
      <c r="B111" s="7"/>
      <c r="C111" s="7"/>
      <c r="D111" s="7"/>
      <c r="E111" s="7" t="str">
        <f aca="false">IF(AND(C111&lt;&gt;"",D111&lt;&gt;""),IF(TIMEVALUE(D111)&gt;TIMEVALUE(C111),(TIMEVALUE(D111)-TIMEVALUE(C111))*24,(1-TIMEVALUE(C111)+TIMEVALUE(D111))*24),"")</f>
        <v/>
      </c>
      <c r="F111" s="7"/>
      <c r="G111" s="7"/>
      <c r="H111" s="7"/>
      <c r="I111" s="7"/>
      <c r="J111" s="7"/>
      <c r="K111" s="7"/>
      <c r="L111" s="7" t="str">
        <f aca="false">IF(B111="","",ROUND(MAX(0,30-ABS(E111-7.5)*10)+MAX(0,20-ABS(F111-20)*2)+MAX(0,15-ABS(G111-22)*1.5)+MAX(0,10-ABS(H111-52)/2)+IF(I111="","",MAX(0,10-MAX(0,I111-5)*2))+IF(J111="yes",10,IF(J111="manual",5,0))+MIN(5,K111*0.5),0))</f>
        <v/>
      </c>
    </row>
    <row r="112" customFormat="false" ht="15" hidden="false" customHeight="false" outlineLevel="0" collapsed="false">
      <c r="A112" s="8"/>
      <c r="B112" s="8"/>
      <c r="C112" s="8"/>
      <c r="D112" s="8"/>
      <c r="E112" s="8" t="str">
        <f aca="false">IF(AND(C112&lt;&gt;"",D112&lt;&gt;""),IF(TIMEVALUE(D112)&gt;TIMEVALUE(C112),(TIMEVALUE(D112)-TIMEVALUE(C112))*24,(1-TIMEVALUE(C112)+TIMEVALUE(D112))*24),"")</f>
        <v/>
      </c>
      <c r="F112" s="8"/>
      <c r="G112" s="8"/>
      <c r="H112" s="8"/>
      <c r="I112" s="8"/>
      <c r="J112" s="8"/>
      <c r="K112" s="8"/>
      <c r="L112" s="8" t="str">
        <f aca="false">IF(B112="","",ROUND(MAX(0,30-ABS(E112-7.5)*10)+MAX(0,20-ABS(F112-20)*2)+MAX(0,15-ABS(G112-22)*1.5)+MAX(0,10-ABS(H112-52)/2)+IF(I112="","",MAX(0,10-MAX(0,I112-5)*2))+IF(J112="yes",10,IF(J112="manual",5,0))+MIN(5,K112*0.5),0))</f>
        <v/>
      </c>
    </row>
    <row r="113" customFormat="false" ht="15" hidden="false" customHeight="false" outlineLevel="0" collapsed="false">
      <c r="A113" s="7"/>
      <c r="B113" s="7"/>
      <c r="C113" s="7"/>
      <c r="D113" s="7"/>
      <c r="E113" s="7" t="str">
        <f aca="false">IF(AND(C113&lt;&gt;"",D113&lt;&gt;""),IF(TIMEVALUE(D113)&gt;TIMEVALUE(C113),(TIMEVALUE(D113)-TIMEVALUE(C113))*24,(1-TIMEVALUE(C113)+TIMEVALUE(D113))*24),"")</f>
        <v/>
      </c>
      <c r="F113" s="7"/>
      <c r="G113" s="7"/>
      <c r="H113" s="7"/>
      <c r="I113" s="7"/>
      <c r="J113" s="7"/>
      <c r="K113" s="7"/>
      <c r="L113" s="7" t="str">
        <f aca="false">IF(B113="","",ROUND(MAX(0,30-ABS(E113-7.5)*10)+MAX(0,20-ABS(F113-20)*2)+MAX(0,15-ABS(G113-22)*1.5)+MAX(0,10-ABS(H113-52)/2)+IF(I113="","",MAX(0,10-MAX(0,I113-5)*2))+IF(J113="yes",10,IF(J113="manual",5,0))+MIN(5,K113*0.5),0))</f>
        <v/>
      </c>
    </row>
    <row r="114" customFormat="false" ht="15" hidden="false" customHeight="false" outlineLevel="0" collapsed="false">
      <c r="A114" s="8"/>
      <c r="B114" s="8"/>
      <c r="C114" s="8"/>
      <c r="D114" s="8"/>
      <c r="E114" s="8" t="str">
        <f aca="false">IF(AND(C114&lt;&gt;"",D114&lt;&gt;""),IF(TIMEVALUE(D114)&gt;TIMEVALUE(C114),(TIMEVALUE(D114)-TIMEVALUE(C114))*24,(1-TIMEVALUE(C114)+TIMEVALUE(D114))*24),"")</f>
        <v/>
      </c>
      <c r="F114" s="8"/>
      <c r="G114" s="8"/>
      <c r="H114" s="8"/>
      <c r="I114" s="8"/>
      <c r="J114" s="8"/>
      <c r="K114" s="8"/>
      <c r="L114" s="8" t="str">
        <f aca="false">IF(B114="","",ROUND(MAX(0,30-ABS(E114-7.5)*10)+MAX(0,20-ABS(F114-20)*2)+MAX(0,15-ABS(G114-22)*1.5)+MAX(0,10-ABS(H114-52)/2)+IF(I114="","",MAX(0,10-MAX(0,I114-5)*2))+IF(J114="yes",10,IF(J114="manual",5,0))+MIN(5,K114*0.5),0))</f>
        <v/>
      </c>
    </row>
    <row r="115" customFormat="false" ht="15" hidden="false" customHeight="false" outlineLevel="0" collapsed="false">
      <c r="A115" s="7"/>
      <c r="B115" s="7"/>
      <c r="C115" s="7"/>
      <c r="D115" s="7"/>
      <c r="E115" s="7" t="str">
        <f aca="false">IF(AND(C115&lt;&gt;"",D115&lt;&gt;""),IF(TIMEVALUE(D115)&gt;TIMEVALUE(C115),(TIMEVALUE(D115)-TIMEVALUE(C115))*24,(1-TIMEVALUE(C115)+TIMEVALUE(D115))*24),"")</f>
        <v/>
      </c>
      <c r="F115" s="7"/>
      <c r="G115" s="7"/>
      <c r="H115" s="7"/>
      <c r="I115" s="7"/>
      <c r="J115" s="7"/>
      <c r="K115" s="7"/>
      <c r="L115" s="7" t="str">
        <f aca="false">IF(B115="","",ROUND(MAX(0,30-ABS(E115-7.5)*10)+MAX(0,20-ABS(F115-20)*2)+MAX(0,15-ABS(G115-22)*1.5)+MAX(0,10-ABS(H115-52)/2)+IF(I115="","",MAX(0,10-MAX(0,I115-5)*2))+IF(J115="yes",10,IF(J115="manual",5,0))+MIN(5,K115*0.5),0))</f>
        <v/>
      </c>
    </row>
    <row r="116" customFormat="false" ht="15" hidden="false" customHeight="false" outlineLevel="0" collapsed="false">
      <c r="A116" s="8"/>
      <c r="B116" s="8"/>
      <c r="C116" s="8"/>
      <c r="D116" s="8"/>
      <c r="E116" s="8" t="str">
        <f aca="false">IF(AND(C116&lt;&gt;"",D116&lt;&gt;""),IF(TIMEVALUE(D116)&gt;TIMEVALUE(C116),(TIMEVALUE(D116)-TIMEVALUE(C116))*24,(1-TIMEVALUE(C116)+TIMEVALUE(D116))*24),"")</f>
        <v/>
      </c>
      <c r="F116" s="8"/>
      <c r="G116" s="8"/>
      <c r="H116" s="8"/>
      <c r="I116" s="8"/>
      <c r="J116" s="8"/>
      <c r="K116" s="8"/>
      <c r="L116" s="8" t="str">
        <f aca="false">IF(B116="","",ROUND(MAX(0,30-ABS(E116-7.5)*10)+MAX(0,20-ABS(F116-20)*2)+MAX(0,15-ABS(G116-22)*1.5)+MAX(0,10-ABS(H116-52)/2)+IF(I116="","",MAX(0,10-MAX(0,I116-5)*2))+IF(J116="yes",10,IF(J116="manual",5,0))+MIN(5,K116*0.5),0))</f>
        <v/>
      </c>
    </row>
    <row r="117" customFormat="false" ht="15" hidden="false" customHeight="false" outlineLevel="0" collapsed="false">
      <c r="A117" s="7"/>
      <c r="B117" s="7"/>
      <c r="C117" s="7"/>
      <c r="D117" s="7"/>
      <c r="E117" s="7" t="str">
        <f aca="false">IF(AND(C117&lt;&gt;"",D117&lt;&gt;""),IF(TIMEVALUE(D117)&gt;TIMEVALUE(C117),(TIMEVALUE(D117)-TIMEVALUE(C117))*24,(1-TIMEVALUE(C117)+TIMEVALUE(D117))*24),"")</f>
        <v/>
      </c>
      <c r="F117" s="7"/>
      <c r="G117" s="7"/>
      <c r="H117" s="7"/>
      <c r="I117" s="7"/>
      <c r="J117" s="7"/>
      <c r="K117" s="7"/>
      <c r="L117" s="7" t="str">
        <f aca="false">IF(B117="","",ROUND(MAX(0,30-ABS(E117-7.5)*10)+MAX(0,20-ABS(F117-20)*2)+MAX(0,15-ABS(G117-22)*1.5)+MAX(0,10-ABS(H117-52)/2)+IF(I117="","",MAX(0,10-MAX(0,I117-5)*2))+IF(J117="yes",10,IF(J117="manual",5,0))+MIN(5,K117*0.5),0))</f>
        <v/>
      </c>
    </row>
    <row r="118" customFormat="false" ht="15" hidden="false" customHeight="false" outlineLevel="0" collapsed="false">
      <c r="A118" s="8"/>
      <c r="B118" s="8"/>
      <c r="C118" s="8"/>
      <c r="D118" s="8"/>
      <c r="E118" s="8" t="str">
        <f aca="false">IF(AND(C118&lt;&gt;"",D118&lt;&gt;""),IF(TIMEVALUE(D118)&gt;TIMEVALUE(C118),(TIMEVALUE(D118)-TIMEVALUE(C118))*24,(1-TIMEVALUE(C118)+TIMEVALUE(D118))*24),"")</f>
        <v/>
      </c>
      <c r="F118" s="8"/>
      <c r="G118" s="8"/>
      <c r="H118" s="8"/>
      <c r="I118" s="8"/>
      <c r="J118" s="8"/>
      <c r="K118" s="8"/>
      <c r="L118" s="8" t="str">
        <f aca="false">IF(B118="","",ROUND(MAX(0,30-ABS(E118-7.5)*10)+MAX(0,20-ABS(F118-20)*2)+MAX(0,15-ABS(G118-22)*1.5)+MAX(0,10-ABS(H118-52)/2)+IF(I118="","",MAX(0,10-MAX(0,I118-5)*2))+IF(J118="yes",10,IF(J118="manual",5,0))+MIN(5,K118*0.5),0))</f>
        <v/>
      </c>
    </row>
    <row r="119" customFormat="false" ht="15" hidden="false" customHeight="false" outlineLevel="0" collapsed="false">
      <c r="A119" s="7"/>
      <c r="B119" s="7"/>
      <c r="C119" s="7"/>
      <c r="D119" s="7"/>
      <c r="E119" s="7" t="str">
        <f aca="false">IF(AND(C119&lt;&gt;"",D119&lt;&gt;""),IF(TIMEVALUE(D119)&gt;TIMEVALUE(C119),(TIMEVALUE(D119)-TIMEVALUE(C119))*24,(1-TIMEVALUE(C119)+TIMEVALUE(D119))*24),"")</f>
        <v/>
      </c>
      <c r="F119" s="7"/>
      <c r="G119" s="7"/>
      <c r="H119" s="7"/>
      <c r="I119" s="7"/>
      <c r="J119" s="7"/>
      <c r="K119" s="7"/>
      <c r="L119" s="7" t="str">
        <f aca="false">IF(B119="","",ROUND(MAX(0,30-ABS(E119-7.5)*10)+MAX(0,20-ABS(F119-20)*2)+MAX(0,15-ABS(G119-22)*1.5)+MAX(0,10-ABS(H119-52)/2)+IF(I119="","",MAX(0,10-MAX(0,I119-5)*2))+IF(J119="yes",10,IF(J119="manual",5,0))+MIN(5,K119*0.5),0))</f>
        <v/>
      </c>
    </row>
    <row r="120" customFormat="false" ht="15" hidden="false" customHeight="false" outlineLevel="0" collapsed="false">
      <c r="A120" s="8"/>
      <c r="B120" s="8"/>
      <c r="C120" s="8"/>
      <c r="D120" s="8"/>
      <c r="E120" s="8" t="str">
        <f aca="false">IF(AND(C120&lt;&gt;"",D120&lt;&gt;""),IF(TIMEVALUE(D120)&gt;TIMEVALUE(C120),(TIMEVALUE(D120)-TIMEVALUE(C120))*24,(1-TIMEVALUE(C120)+TIMEVALUE(D120))*24),"")</f>
        <v/>
      </c>
      <c r="F120" s="8"/>
      <c r="G120" s="8"/>
      <c r="H120" s="8"/>
      <c r="I120" s="8"/>
      <c r="J120" s="8"/>
      <c r="K120" s="8"/>
      <c r="L120" s="8" t="str">
        <f aca="false">IF(B120="","",ROUND(MAX(0,30-ABS(E120-7.5)*10)+MAX(0,20-ABS(F120-20)*2)+MAX(0,15-ABS(G120-22)*1.5)+MAX(0,10-ABS(H120-52)/2)+IF(I120="","",MAX(0,10-MAX(0,I120-5)*2))+IF(J120="yes",10,IF(J120="manual",5,0))+MIN(5,K120*0.5),0))</f>
        <v/>
      </c>
    </row>
    <row r="121" customFormat="false" ht="15" hidden="false" customHeight="false" outlineLevel="0" collapsed="false">
      <c r="A121" s="7"/>
      <c r="B121" s="7"/>
      <c r="C121" s="7"/>
      <c r="D121" s="7"/>
      <c r="E121" s="7" t="str">
        <f aca="false">IF(AND(C121&lt;&gt;"",D121&lt;&gt;""),IF(TIMEVALUE(D121)&gt;TIMEVALUE(C121),(TIMEVALUE(D121)-TIMEVALUE(C121))*24,(1-TIMEVALUE(C121)+TIMEVALUE(D121))*24),"")</f>
        <v/>
      </c>
      <c r="F121" s="7"/>
      <c r="G121" s="7"/>
      <c r="H121" s="7"/>
      <c r="I121" s="7"/>
      <c r="J121" s="7"/>
      <c r="K121" s="7"/>
      <c r="L121" s="7" t="str">
        <f aca="false">IF(B121="","",ROUND(MAX(0,30-ABS(E121-7.5)*10)+MAX(0,20-ABS(F121-20)*2)+MAX(0,15-ABS(G121-22)*1.5)+MAX(0,10-ABS(H121-52)/2)+IF(I121="","",MAX(0,10-MAX(0,I121-5)*2))+IF(J121="yes",10,IF(J121="manual",5,0))+MIN(5,K121*0.5),0))</f>
        <v/>
      </c>
    </row>
    <row r="122" customFormat="false" ht="15" hidden="false" customHeight="false" outlineLevel="0" collapsed="false">
      <c r="A122" s="8"/>
      <c r="B122" s="8"/>
      <c r="C122" s="8"/>
      <c r="D122" s="8"/>
      <c r="E122" s="8" t="str">
        <f aca="false">IF(AND(C122&lt;&gt;"",D122&lt;&gt;""),IF(TIMEVALUE(D122)&gt;TIMEVALUE(C122),(TIMEVALUE(D122)-TIMEVALUE(C122))*24,(1-TIMEVALUE(C122)+TIMEVALUE(D122))*24),"")</f>
        <v/>
      </c>
      <c r="F122" s="8"/>
      <c r="G122" s="8"/>
      <c r="H122" s="8"/>
      <c r="I122" s="8"/>
      <c r="J122" s="8"/>
      <c r="K122" s="8"/>
      <c r="L122" s="8" t="str">
        <f aca="false">IF(B122="","",ROUND(MAX(0,30-ABS(E122-7.5)*10)+MAX(0,20-ABS(F122-20)*2)+MAX(0,15-ABS(G122-22)*1.5)+MAX(0,10-ABS(H122-52)/2)+IF(I122="","",MAX(0,10-MAX(0,I122-5)*2))+IF(J122="yes",10,IF(J122="manual",5,0))+MIN(5,K122*0.5),0))</f>
        <v/>
      </c>
    </row>
    <row r="123" customFormat="false" ht="15" hidden="false" customHeight="false" outlineLevel="0" collapsed="false">
      <c r="A123" s="7"/>
      <c r="B123" s="7"/>
      <c r="C123" s="7"/>
      <c r="D123" s="7"/>
      <c r="E123" s="7" t="str">
        <f aca="false">IF(AND(C123&lt;&gt;"",D123&lt;&gt;""),IF(TIMEVALUE(D123)&gt;TIMEVALUE(C123),(TIMEVALUE(D123)-TIMEVALUE(C123))*24,(1-TIMEVALUE(C123)+TIMEVALUE(D123))*24),"")</f>
        <v/>
      </c>
      <c r="F123" s="7"/>
      <c r="G123" s="7"/>
      <c r="H123" s="7"/>
      <c r="I123" s="7"/>
      <c r="J123" s="7"/>
      <c r="K123" s="7"/>
      <c r="L123" s="7" t="str">
        <f aca="false">IF(B123="","",ROUND(MAX(0,30-ABS(E123-7.5)*10)+MAX(0,20-ABS(F123-20)*2)+MAX(0,15-ABS(G123-22)*1.5)+MAX(0,10-ABS(H123-52)/2)+IF(I123="","",MAX(0,10-MAX(0,I123-5)*2))+IF(J123="yes",10,IF(J123="manual",5,0))+MIN(5,K123*0.5),0))</f>
        <v/>
      </c>
    </row>
    <row r="124" customFormat="false" ht="15" hidden="false" customHeight="false" outlineLevel="0" collapsed="false">
      <c r="A124" s="8"/>
      <c r="B124" s="8"/>
      <c r="C124" s="8"/>
      <c r="D124" s="8"/>
      <c r="E124" s="8" t="str">
        <f aca="false">IF(AND(C124&lt;&gt;"",D124&lt;&gt;""),IF(TIMEVALUE(D124)&gt;TIMEVALUE(C124),(TIMEVALUE(D124)-TIMEVALUE(C124))*24,(1-TIMEVALUE(C124)+TIMEVALUE(D124))*24),"")</f>
        <v/>
      </c>
      <c r="F124" s="8"/>
      <c r="G124" s="8"/>
      <c r="H124" s="8"/>
      <c r="I124" s="8"/>
      <c r="J124" s="8"/>
      <c r="K124" s="8"/>
      <c r="L124" s="8" t="str">
        <f aca="false">IF(B124="","",ROUND(MAX(0,30-ABS(E124-7.5)*10)+MAX(0,20-ABS(F124-20)*2)+MAX(0,15-ABS(G124-22)*1.5)+MAX(0,10-ABS(H124-52)/2)+IF(I124="","",MAX(0,10-MAX(0,I124-5)*2))+IF(J124="yes",10,IF(J124="manual",5,0))+MIN(5,K124*0.5),0))</f>
        <v/>
      </c>
    </row>
    <row r="125" customFormat="false" ht="15" hidden="false" customHeight="false" outlineLevel="0" collapsed="false">
      <c r="A125" s="7"/>
      <c r="B125" s="7"/>
      <c r="C125" s="7"/>
      <c r="D125" s="7"/>
      <c r="E125" s="7" t="str">
        <f aca="false">IF(AND(C125&lt;&gt;"",D125&lt;&gt;""),IF(TIMEVALUE(D125)&gt;TIMEVALUE(C125),(TIMEVALUE(D125)-TIMEVALUE(C125))*24,(1-TIMEVALUE(C125)+TIMEVALUE(D125))*24),"")</f>
        <v/>
      </c>
      <c r="F125" s="7"/>
      <c r="G125" s="7"/>
      <c r="H125" s="7"/>
      <c r="I125" s="7"/>
      <c r="J125" s="7"/>
      <c r="K125" s="7"/>
      <c r="L125" s="7" t="str">
        <f aca="false">IF(B125="","",ROUND(MAX(0,30-ABS(E125-7.5)*10)+MAX(0,20-ABS(F125-20)*2)+MAX(0,15-ABS(G125-22)*1.5)+MAX(0,10-ABS(H125-52)/2)+IF(I125="","",MAX(0,10-MAX(0,I125-5)*2))+IF(J125="yes",10,IF(J125="manual",5,0))+MIN(5,K125*0.5),0))</f>
        <v/>
      </c>
    </row>
    <row r="126" customFormat="false" ht="15" hidden="false" customHeight="false" outlineLevel="0" collapsed="false">
      <c r="A126" s="8"/>
      <c r="B126" s="8"/>
      <c r="C126" s="8"/>
      <c r="D126" s="8"/>
      <c r="E126" s="8" t="str">
        <f aca="false">IF(AND(C126&lt;&gt;"",D126&lt;&gt;""),IF(TIMEVALUE(D126)&gt;TIMEVALUE(C126),(TIMEVALUE(D126)-TIMEVALUE(C126))*24,(1-TIMEVALUE(C126)+TIMEVALUE(D126))*24),"")</f>
        <v/>
      </c>
      <c r="F126" s="8"/>
      <c r="G126" s="8"/>
      <c r="H126" s="8"/>
      <c r="I126" s="8"/>
      <c r="J126" s="8"/>
      <c r="K126" s="8"/>
      <c r="L126" s="8" t="str">
        <f aca="false">IF(B126="","",ROUND(MAX(0,30-ABS(E126-7.5)*10)+MAX(0,20-ABS(F126-20)*2)+MAX(0,15-ABS(G126-22)*1.5)+MAX(0,10-ABS(H126-52)/2)+IF(I126="","",MAX(0,10-MAX(0,I126-5)*2))+IF(J126="yes",10,IF(J126="manual",5,0))+MIN(5,K126*0.5),0))</f>
        <v/>
      </c>
    </row>
    <row r="127" customFormat="false" ht="15" hidden="false" customHeight="false" outlineLevel="0" collapsed="false">
      <c r="A127" s="7"/>
      <c r="B127" s="7"/>
      <c r="C127" s="7"/>
      <c r="D127" s="7"/>
      <c r="E127" s="7" t="str">
        <f aca="false">IF(AND(C127&lt;&gt;"",D127&lt;&gt;""),IF(TIMEVALUE(D127)&gt;TIMEVALUE(C127),(TIMEVALUE(D127)-TIMEVALUE(C127))*24,(1-TIMEVALUE(C127)+TIMEVALUE(D127))*24),"")</f>
        <v/>
      </c>
      <c r="F127" s="7"/>
      <c r="G127" s="7"/>
      <c r="H127" s="7"/>
      <c r="I127" s="7"/>
      <c r="J127" s="7"/>
      <c r="K127" s="7"/>
      <c r="L127" s="7" t="str">
        <f aca="false">IF(B127="","",ROUND(MAX(0,30-ABS(E127-7.5)*10)+MAX(0,20-ABS(F127-20)*2)+MAX(0,15-ABS(G127-22)*1.5)+MAX(0,10-ABS(H127-52)/2)+IF(I127="","",MAX(0,10-MAX(0,I127-5)*2))+IF(J127="yes",10,IF(J127="manual",5,0))+MIN(5,K127*0.5),0))</f>
        <v/>
      </c>
    </row>
    <row r="128" customFormat="false" ht="15" hidden="false" customHeight="false" outlineLevel="0" collapsed="false">
      <c r="A128" s="8"/>
      <c r="B128" s="8"/>
      <c r="C128" s="8"/>
      <c r="D128" s="8"/>
      <c r="E128" s="8" t="str">
        <f aca="false">IF(AND(C128&lt;&gt;"",D128&lt;&gt;""),IF(TIMEVALUE(D128)&gt;TIMEVALUE(C128),(TIMEVALUE(D128)-TIMEVALUE(C128))*24,(1-TIMEVALUE(C128)+TIMEVALUE(D128))*24),"")</f>
        <v/>
      </c>
      <c r="F128" s="8"/>
      <c r="G128" s="8"/>
      <c r="H128" s="8"/>
      <c r="I128" s="8"/>
      <c r="J128" s="8"/>
      <c r="K128" s="8"/>
      <c r="L128" s="8" t="str">
        <f aca="false">IF(B128="","",ROUND(MAX(0,30-ABS(E128-7.5)*10)+MAX(0,20-ABS(F128-20)*2)+MAX(0,15-ABS(G128-22)*1.5)+MAX(0,10-ABS(H128-52)/2)+IF(I128="","",MAX(0,10-MAX(0,I128-5)*2))+IF(J128="yes",10,IF(J128="manual",5,0))+MIN(5,K128*0.5),0))</f>
        <v/>
      </c>
    </row>
    <row r="129" customFormat="false" ht="15" hidden="false" customHeight="false" outlineLevel="0" collapsed="false">
      <c r="A129" s="7"/>
      <c r="B129" s="7"/>
      <c r="C129" s="7"/>
      <c r="D129" s="7"/>
      <c r="E129" s="7" t="str">
        <f aca="false">IF(AND(C129&lt;&gt;"",D129&lt;&gt;""),IF(TIMEVALUE(D129)&gt;TIMEVALUE(C129),(TIMEVALUE(D129)-TIMEVALUE(C129))*24,(1-TIMEVALUE(C129)+TIMEVALUE(D129))*24),"")</f>
        <v/>
      </c>
      <c r="F129" s="7"/>
      <c r="G129" s="7"/>
      <c r="H129" s="7"/>
      <c r="I129" s="7"/>
      <c r="J129" s="7"/>
      <c r="K129" s="7"/>
      <c r="L129" s="7" t="str">
        <f aca="false">IF(B129="","",ROUND(MAX(0,30-ABS(E129-7.5)*10)+MAX(0,20-ABS(F129-20)*2)+MAX(0,15-ABS(G129-22)*1.5)+MAX(0,10-ABS(H129-52)/2)+IF(I129="","",MAX(0,10-MAX(0,I129-5)*2))+IF(J129="yes",10,IF(J129="manual",5,0))+MIN(5,K129*0.5),0))</f>
        <v/>
      </c>
    </row>
    <row r="130" customFormat="false" ht="15" hidden="false" customHeight="false" outlineLevel="0" collapsed="false">
      <c r="A130" s="8"/>
      <c r="B130" s="8"/>
      <c r="C130" s="8"/>
      <c r="D130" s="8"/>
      <c r="E130" s="8" t="str">
        <f aca="false">IF(AND(C130&lt;&gt;"",D130&lt;&gt;""),IF(TIMEVALUE(D130)&gt;TIMEVALUE(C130),(TIMEVALUE(D130)-TIMEVALUE(C130))*24,(1-TIMEVALUE(C130)+TIMEVALUE(D130))*24),"")</f>
        <v/>
      </c>
      <c r="F130" s="8"/>
      <c r="G130" s="8"/>
      <c r="H130" s="8"/>
      <c r="I130" s="8"/>
      <c r="J130" s="8"/>
      <c r="K130" s="8"/>
      <c r="L130" s="8" t="str">
        <f aca="false">IF(B130="","",ROUND(MAX(0,30-ABS(E130-7.5)*10)+MAX(0,20-ABS(F130-20)*2)+MAX(0,15-ABS(G130-22)*1.5)+MAX(0,10-ABS(H130-52)/2)+IF(I130="","",MAX(0,10-MAX(0,I130-5)*2))+IF(J130="yes",10,IF(J130="manual",5,0))+MIN(5,K130*0.5),0))</f>
        <v/>
      </c>
    </row>
    <row r="131" customFormat="false" ht="15" hidden="false" customHeight="false" outlineLevel="0" collapsed="false">
      <c r="A131" s="7"/>
      <c r="B131" s="7"/>
      <c r="C131" s="7"/>
      <c r="D131" s="7"/>
      <c r="E131" s="7" t="str">
        <f aca="false">IF(AND(C131&lt;&gt;"",D131&lt;&gt;""),IF(TIMEVALUE(D131)&gt;TIMEVALUE(C131),(TIMEVALUE(D131)-TIMEVALUE(C131))*24,(1-TIMEVALUE(C131)+TIMEVALUE(D131))*24),"")</f>
        <v/>
      </c>
      <c r="F131" s="7"/>
      <c r="G131" s="7"/>
      <c r="H131" s="7"/>
      <c r="I131" s="7"/>
      <c r="J131" s="7"/>
      <c r="K131" s="7"/>
      <c r="L131" s="7" t="str">
        <f aca="false">IF(B131="","",ROUND(MAX(0,30-ABS(E131-7.5)*10)+MAX(0,20-ABS(F131-20)*2)+MAX(0,15-ABS(G131-22)*1.5)+MAX(0,10-ABS(H131-52)/2)+IF(I131="","",MAX(0,10-MAX(0,I131-5)*2))+IF(J131="yes",10,IF(J131="manual",5,0))+MIN(5,K131*0.5),0))</f>
        <v/>
      </c>
    </row>
    <row r="132" customFormat="false" ht="15" hidden="false" customHeight="false" outlineLevel="0" collapsed="false">
      <c r="A132" s="8"/>
      <c r="B132" s="8"/>
      <c r="C132" s="8"/>
      <c r="D132" s="8"/>
      <c r="E132" s="8" t="str">
        <f aca="false">IF(AND(C132&lt;&gt;"",D132&lt;&gt;""),IF(TIMEVALUE(D132)&gt;TIMEVALUE(C132),(TIMEVALUE(D132)-TIMEVALUE(C132))*24,(1-TIMEVALUE(C132)+TIMEVALUE(D132))*24),"")</f>
        <v/>
      </c>
      <c r="F132" s="8"/>
      <c r="G132" s="8"/>
      <c r="H132" s="8"/>
      <c r="I132" s="8"/>
      <c r="J132" s="8"/>
      <c r="K132" s="8"/>
      <c r="L132" s="8" t="str">
        <f aca="false">IF(B132="","",ROUND(MAX(0,30-ABS(E132-7.5)*10)+MAX(0,20-ABS(F132-20)*2)+MAX(0,15-ABS(G132-22)*1.5)+MAX(0,10-ABS(H132-52)/2)+IF(I132="","",MAX(0,10-MAX(0,I132-5)*2))+IF(J132="yes",10,IF(J132="manual",5,0))+MIN(5,K132*0.5),0))</f>
        <v/>
      </c>
    </row>
    <row r="133" customFormat="false" ht="15" hidden="false" customHeight="false" outlineLevel="0" collapsed="false">
      <c r="A133" s="7"/>
      <c r="B133" s="7"/>
      <c r="C133" s="7"/>
      <c r="D133" s="7"/>
      <c r="E133" s="7" t="str">
        <f aca="false">IF(AND(C133&lt;&gt;"",D133&lt;&gt;""),IF(TIMEVALUE(D133)&gt;TIMEVALUE(C133),(TIMEVALUE(D133)-TIMEVALUE(C133))*24,(1-TIMEVALUE(C133)+TIMEVALUE(D133))*24),"")</f>
        <v/>
      </c>
      <c r="F133" s="7"/>
      <c r="G133" s="7"/>
      <c r="H133" s="7"/>
      <c r="I133" s="7"/>
      <c r="J133" s="7"/>
      <c r="K133" s="7"/>
      <c r="L133" s="7" t="str">
        <f aca="false">IF(B133="","",ROUND(MAX(0,30-ABS(E133-7.5)*10)+MAX(0,20-ABS(F133-20)*2)+MAX(0,15-ABS(G133-22)*1.5)+MAX(0,10-ABS(H133-52)/2)+IF(I133="","",MAX(0,10-MAX(0,I133-5)*2))+IF(J133="yes",10,IF(J133="manual",5,0))+MIN(5,K133*0.5),0))</f>
        <v/>
      </c>
    </row>
    <row r="134" customFormat="false" ht="15" hidden="false" customHeight="false" outlineLevel="0" collapsed="false">
      <c r="A134" s="8"/>
      <c r="B134" s="8"/>
      <c r="C134" s="8"/>
      <c r="D134" s="8"/>
      <c r="E134" s="8" t="str">
        <f aca="false">IF(AND(C134&lt;&gt;"",D134&lt;&gt;""),IF(TIMEVALUE(D134)&gt;TIMEVALUE(C134),(TIMEVALUE(D134)-TIMEVALUE(C134))*24,(1-TIMEVALUE(C134)+TIMEVALUE(D134))*24),"")</f>
        <v/>
      </c>
      <c r="F134" s="8"/>
      <c r="G134" s="8"/>
      <c r="H134" s="8"/>
      <c r="I134" s="8"/>
      <c r="J134" s="8"/>
      <c r="K134" s="8"/>
      <c r="L134" s="8" t="str">
        <f aca="false">IF(B134="","",ROUND(MAX(0,30-ABS(E134-7.5)*10)+MAX(0,20-ABS(F134-20)*2)+MAX(0,15-ABS(G134-22)*1.5)+MAX(0,10-ABS(H134-52)/2)+IF(I134="","",MAX(0,10-MAX(0,I134-5)*2))+IF(J134="yes",10,IF(J134="manual",5,0))+MIN(5,K134*0.5),0))</f>
        <v/>
      </c>
    </row>
    <row r="135" customFormat="false" ht="15" hidden="false" customHeight="false" outlineLevel="0" collapsed="false">
      <c r="A135" s="7"/>
      <c r="B135" s="7"/>
      <c r="C135" s="7"/>
      <c r="D135" s="7"/>
      <c r="E135" s="7" t="str">
        <f aca="false">IF(AND(C135&lt;&gt;"",D135&lt;&gt;""),IF(TIMEVALUE(D135)&gt;TIMEVALUE(C135),(TIMEVALUE(D135)-TIMEVALUE(C135))*24,(1-TIMEVALUE(C135)+TIMEVALUE(D135))*24),"")</f>
        <v/>
      </c>
      <c r="F135" s="7"/>
      <c r="G135" s="7"/>
      <c r="H135" s="7"/>
      <c r="I135" s="7"/>
      <c r="J135" s="7"/>
      <c r="K135" s="7"/>
      <c r="L135" s="7" t="str">
        <f aca="false">IF(B135="","",ROUND(MAX(0,30-ABS(E135-7.5)*10)+MAX(0,20-ABS(F135-20)*2)+MAX(0,15-ABS(G135-22)*1.5)+MAX(0,10-ABS(H135-52)/2)+IF(I135="","",MAX(0,10-MAX(0,I135-5)*2))+IF(J135="yes",10,IF(J135="manual",5,0))+MIN(5,K135*0.5),0))</f>
        <v/>
      </c>
    </row>
    <row r="136" customFormat="false" ht="15" hidden="false" customHeight="false" outlineLevel="0" collapsed="false">
      <c r="A136" s="8"/>
      <c r="B136" s="8"/>
      <c r="C136" s="8"/>
      <c r="D136" s="8"/>
      <c r="E136" s="8" t="str">
        <f aca="false">IF(AND(C136&lt;&gt;"",D136&lt;&gt;""),IF(TIMEVALUE(D136)&gt;TIMEVALUE(C136),(TIMEVALUE(D136)-TIMEVALUE(C136))*24,(1-TIMEVALUE(C136)+TIMEVALUE(D136))*24),"")</f>
        <v/>
      </c>
      <c r="F136" s="8"/>
      <c r="G136" s="8"/>
      <c r="H136" s="8"/>
      <c r="I136" s="8"/>
      <c r="J136" s="8"/>
      <c r="K136" s="8"/>
      <c r="L136" s="8" t="str">
        <f aca="false">IF(B136="","",ROUND(MAX(0,30-ABS(E136-7.5)*10)+MAX(0,20-ABS(F136-20)*2)+MAX(0,15-ABS(G136-22)*1.5)+MAX(0,10-ABS(H136-52)/2)+IF(I136="","",MAX(0,10-MAX(0,I136-5)*2))+IF(J136="yes",10,IF(J136="manual",5,0))+MIN(5,K136*0.5),0))</f>
        <v/>
      </c>
    </row>
    <row r="137" customFormat="false" ht="15" hidden="false" customHeight="false" outlineLevel="0" collapsed="false">
      <c r="A137" s="7"/>
      <c r="B137" s="7"/>
      <c r="C137" s="7"/>
      <c r="D137" s="7"/>
      <c r="E137" s="7" t="str">
        <f aca="false">IF(AND(C137&lt;&gt;"",D137&lt;&gt;""),IF(TIMEVALUE(D137)&gt;TIMEVALUE(C137),(TIMEVALUE(D137)-TIMEVALUE(C137))*24,(1-TIMEVALUE(C137)+TIMEVALUE(D137))*24),"")</f>
        <v/>
      </c>
      <c r="F137" s="7"/>
      <c r="G137" s="7"/>
      <c r="H137" s="7"/>
      <c r="I137" s="7"/>
      <c r="J137" s="7"/>
      <c r="K137" s="7"/>
      <c r="L137" s="7" t="str">
        <f aca="false">IF(B137="","",ROUND(MAX(0,30-ABS(E137-7.5)*10)+MAX(0,20-ABS(F137-20)*2)+MAX(0,15-ABS(G137-22)*1.5)+MAX(0,10-ABS(H137-52)/2)+IF(I137="","",MAX(0,10-MAX(0,I137-5)*2))+IF(J137="yes",10,IF(J137="manual",5,0))+MIN(5,K137*0.5),0))</f>
        <v/>
      </c>
    </row>
    <row r="138" customFormat="false" ht="15" hidden="false" customHeight="false" outlineLevel="0" collapsed="false">
      <c r="A138" s="8"/>
      <c r="B138" s="8"/>
      <c r="C138" s="8"/>
      <c r="D138" s="8"/>
      <c r="E138" s="8" t="str">
        <f aca="false">IF(AND(C138&lt;&gt;"",D138&lt;&gt;""),IF(TIMEVALUE(D138)&gt;TIMEVALUE(C138),(TIMEVALUE(D138)-TIMEVALUE(C138))*24,(1-TIMEVALUE(C138)+TIMEVALUE(D138))*24),"")</f>
        <v/>
      </c>
      <c r="F138" s="8"/>
      <c r="G138" s="8"/>
      <c r="H138" s="8"/>
      <c r="I138" s="8"/>
      <c r="J138" s="8"/>
      <c r="K138" s="8"/>
      <c r="L138" s="8" t="str">
        <f aca="false">IF(B138="","",ROUND(MAX(0,30-ABS(E138-7.5)*10)+MAX(0,20-ABS(F138-20)*2)+MAX(0,15-ABS(G138-22)*1.5)+MAX(0,10-ABS(H138-52)/2)+IF(I138="","",MAX(0,10-MAX(0,I138-5)*2))+IF(J138="yes",10,IF(J138="manual",5,0))+MIN(5,K138*0.5),0))</f>
        <v/>
      </c>
    </row>
    <row r="139" customFormat="false" ht="15" hidden="false" customHeight="false" outlineLevel="0" collapsed="false">
      <c r="A139" s="7"/>
      <c r="B139" s="7"/>
      <c r="C139" s="7"/>
      <c r="D139" s="7"/>
      <c r="E139" s="7" t="str">
        <f aca="false">IF(AND(C139&lt;&gt;"",D139&lt;&gt;""),IF(TIMEVALUE(D139)&gt;TIMEVALUE(C139),(TIMEVALUE(D139)-TIMEVALUE(C139))*24,(1-TIMEVALUE(C139)+TIMEVALUE(D139))*24),"")</f>
        <v/>
      </c>
      <c r="F139" s="7"/>
      <c r="G139" s="7"/>
      <c r="H139" s="7"/>
      <c r="I139" s="7"/>
      <c r="J139" s="7"/>
      <c r="K139" s="7"/>
      <c r="L139" s="7" t="str">
        <f aca="false">IF(B139="","",ROUND(MAX(0,30-ABS(E139-7.5)*10)+MAX(0,20-ABS(F139-20)*2)+MAX(0,15-ABS(G139-22)*1.5)+MAX(0,10-ABS(H139-52)/2)+IF(I139="","",MAX(0,10-MAX(0,I139-5)*2))+IF(J139="yes",10,IF(J139="manual",5,0))+MIN(5,K139*0.5),0))</f>
        <v/>
      </c>
    </row>
    <row r="140" customFormat="false" ht="15" hidden="false" customHeight="false" outlineLevel="0" collapsed="false">
      <c r="A140" s="8"/>
      <c r="B140" s="8"/>
      <c r="C140" s="8"/>
      <c r="D140" s="8"/>
      <c r="E140" s="8" t="str">
        <f aca="false">IF(AND(C140&lt;&gt;"",D140&lt;&gt;""),IF(TIMEVALUE(D140)&gt;TIMEVALUE(C140),(TIMEVALUE(D140)-TIMEVALUE(C140))*24,(1-TIMEVALUE(C140)+TIMEVALUE(D140))*24),"")</f>
        <v/>
      </c>
      <c r="F140" s="8"/>
      <c r="G140" s="8"/>
      <c r="H140" s="8"/>
      <c r="I140" s="8"/>
      <c r="J140" s="8"/>
      <c r="K140" s="8"/>
      <c r="L140" s="8" t="str">
        <f aca="false">IF(B140="","",ROUND(MAX(0,30-ABS(E140-7.5)*10)+MAX(0,20-ABS(F140-20)*2)+MAX(0,15-ABS(G140-22)*1.5)+MAX(0,10-ABS(H140-52)/2)+IF(I140="","",MAX(0,10-MAX(0,I140-5)*2))+IF(J140="yes",10,IF(J140="manual",5,0))+MIN(5,K140*0.5),0))</f>
        <v/>
      </c>
    </row>
    <row r="141" customFormat="false" ht="15" hidden="false" customHeight="false" outlineLevel="0" collapsed="false">
      <c r="A141" s="7"/>
      <c r="B141" s="7"/>
      <c r="C141" s="7"/>
      <c r="D141" s="7"/>
      <c r="E141" s="7" t="str">
        <f aca="false">IF(AND(C141&lt;&gt;"",D141&lt;&gt;""),IF(TIMEVALUE(D141)&gt;TIMEVALUE(C141),(TIMEVALUE(D141)-TIMEVALUE(C141))*24,(1-TIMEVALUE(C141)+TIMEVALUE(D141))*24),"")</f>
        <v/>
      </c>
      <c r="F141" s="7"/>
      <c r="G141" s="7"/>
      <c r="H141" s="7"/>
      <c r="I141" s="7"/>
      <c r="J141" s="7"/>
      <c r="K141" s="7"/>
      <c r="L141" s="7" t="str">
        <f aca="false">IF(B141="","",ROUND(MAX(0,30-ABS(E141-7.5)*10)+MAX(0,20-ABS(F141-20)*2)+MAX(0,15-ABS(G141-22)*1.5)+MAX(0,10-ABS(H141-52)/2)+IF(I141="","",MAX(0,10-MAX(0,I141-5)*2))+IF(J141="yes",10,IF(J141="manual",5,0))+MIN(5,K141*0.5),0))</f>
        <v/>
      </c>
    </row>
    <row r="142" customFormat="false" ht="15" hidden="false" customHeight="false" outlineLevel="0" collapsed="false">
      <c r="A142" s="8"/>
      <c r="B142" s="8"/>
      <c r="C142" s="8"/>
      <c r="D142" s="8"/>
      <c r="E142" s="8" t="str">
        <f aca="false">IF(AND(C142&lt;&gt;"",D142&lt;&gt;""),IF(TIMEVALUE(D142)&gt;TIMEVALUE(C142),(TIMEVALUE(D142)-TIMEVALUE(C142))*24,(1-TIMEVALUE(C142)+TIMEVALUE(D142))*24),"")</f>
        <v/>
      </c>
      <c r="F142" s="8"/>
      <c r="G142" s="8"/>
      <c r="H142" s="8"/>
      <c r="I142" s="8"/>
      <c r="J142" s="8"/>
      <c r="K142" s="8"/>
      <c r="L142" s="8" t="str">
        <f aca="false">IF(B142="","",ROUND(MAX(0,30-ABS(E142-7.5)*10)+MAX(0,20-ABS(F142-20)*2)+MAX(0,15-ABS(G142-22)*1.5)+MAX(0,10-ABS(H142-52)/2)+IF(I142="","",MAX(0,10-MAX(0,I142-5)*2))+IF(J142="yes",10,IF(J142="manual",5,0))+MIN(5,K142*0.5),0))</f>
        <v/>
      </c>
    </row>
    <row r="143" customFormat="false" ht="15" hidden="false" customHeight="false" outlineLevel="0" collapsed="false">
      <c r="A143" s="7"/>
      <c r="B143" s="7"/>
      <c r="C143" s="7"/>
      <c r="D143" s="7"/>
      <c r="E143" s="7" t="str">
        <f aca="false">IF(AND(C143&lt;&gt;"",D143&lt;&gt;""),IF(TIMEVALUE(D143)&gt;TIMEVALUE(C143),(TIMEVALUE(D143)-TIMEVALUE(C143))*24,(1-TIMEVALUE(C143)+TIMEVALUE(D143))*24),"")</f>
        <v/>
      </c>
      <c r="F143" s="7"/>
      <c r="G143" s="7"/>
      <c r="H143" s="7"/>
      <c r="I143" s="7"/>
      <c r="J143" s="7"/>
      <c r="K143" s="7"/>
      <c r="L143" s="7" t="str">
        <f aca="false">IF(B143="","",ROUND(MAX(0,30-ABS(E143-7.5)*10)+MAX(0,20-ABS(F143-20)*2)+MAX(0,15-ABS(G143-22)*1.5)+MAX(0,10-ABS(H143-52)/2)+IF(I143="","",MAX(0,10-MAX(0,I143-5)*2))+IF(J143="yes",10,IF(J143="manual",5,0))+MIN(5,K143*0.5),0))</f>
        <v/>
      </c>
    </row>
    <row r="144" customFormat="false" ht="15" hidden="false" customHeight="false" outlineLevel="0" collapsed="false">
      <c r="A144" s="8"/>
      <c r="B144" s="8"/>
      <c r="C144" s="8"/>
      <c r="D144" s="8"/>
      <c r="E144" s="8" t="str">
        <f aca="false">IF(AND(C144&lt;&gt;"",D144&lt;&gt;""),IF(TIMEVALUE(D144)&gt;TIMEVALUE(C144),(TIMEVALUE(D144)-TIMEVALUE(C144))*24,(1-TIMEVALUE(C144)+TIMEVALUE(D144))*24),"")</f>
        <v/>
      </c>
      <c r="F144" s="8"/>
      <c r="G144" s="8"/>
      <c r="H144" s="8"/>
      <c r="I144" s="8"/>
      <c r="J144" s="8"/>
      <c r="K144" s="8"/>
      <c r="L144" s="8" t="str">
        <f aca="false">IF(B144="","",ROUND(MAX(0,30-ABS(E144-7.5)*10)+MAX(0,20-ABS(F144-20)*2)+MAX(0,15-ABS(G144-22)*1.5)+MAX(0,10-ABS(H144-52)/2)+IF(I144="","",MAX(0,10-MAX(0,I144-5)*2))+IF(J144="yes",10,IF(J144="manual",5,0))+MIN(5,K144*0.5),0))</f>
        <v/>
      </c>
    </row>
    <row r="145" customFormat="false" ht="15" hidden="false" customHeight="false" outlineLevel="0" collapsed="false">
      <c r="A145" s="7"/>
      <c r="B145" s="7"/>
      <c r="C145" s="7"/>
      <c r="D145" s="7"/>
      <c r="E145" s="7" t="str">
        <f aca="false">IF(AND(C145&lt;&gt;"",D145&lt;&gt;""),IF(TIMEVALUE(D145)&gt;TIMEVALUE(C145),(TIMEVALUE(D145)-TIMEVALUE(C145))*24,(1-TIMEVALUE(C145)+TIMEVALUE(D145))*24),"")</f>
        <v/>
      </c>
      <c r="F145" s="7"/>
      <c r="G145" s="7"/>
      <c r="H145" s="7"/>
      <c r="I145" s="7"/>
      <c r="J145" s="7"/>
      <c r="K145" s="7"/>
      <c r="L145" s="7" t="str">
        <f aca="false">IF(B145="","",ROUND(MAX(0,30-ABS(E145-7.5)*10)+MAX(0,20-ABS(F145-20)*2)+MAX(0,15-ABS(G145-22)*1.5)+MAX(0,10-ABS(H145-52)/2)+IF(I145="","",MAX(0,10-MAX(0,I145-5)*2))+IF(J145="yes",10,IF(J145="manual",5,0))+MIN(5,K145*0.5),0))</f>
        <v/>
      </c>
    </row>
    <row r="146" customFormat="false" ht="15" hidden="false" customHeight="false" outlineLevel="0" collapsed="false">
      <c r="A146" s="8"/>
      <c r="B146" s="8"/>
      <c r="C146" s="8"/>
      <c r="D146" s="8"/>
      <c r="E146" s="8" t="str">
        <f aca="false">IF(AND(C146&lt;&gt;"",D146&lt;&gt;""),IF(TIMEVALUE(D146)&gt;TIMEVALUE(C146),(TIMEVALUE(D146)-TIMEVALUE(C146))*24,(1-TIMEVALUE(C146)+TIMEVALUE(D146))*24),"")</f>
        <v/>
      </c>
      <c r="F146" s="8"/>
      <c r="G146" s="8"/>
      <c r="H146" s="8"/>
      <c r="I146" s="8"/>
      <c r="J146" s="8"/>
      <c r="K146" s="8"/>
      <c r="L146" s="8" t="str">
        <f aca="false">IF(B146="","",ROUND(MAX(0,30-ABS(E146-7.5)*10)+MAX(0,20-ABS(F146-20)*2)+MAX(0,15-ABS(G146-22)*1.5)+MAX(0,10-ABS(H146-52)/2)+IF(I146="","",MAX(0,10-MAX(0,I146-5)*2))+IF(J146="yes",10,IF(J146="manual",5,0))+MIN(5,K146*0.5),0))</f>
        <v/>
      </c>
    </row>
    <row r="147" customFormat="false" ht="15" hidden="false" customHeight="false" outlineLevel="0" collapsed="false">
      <c r="A147" s="7"/>
      <c r="B147" s="7"/>
      <c r="C147" s="7"/>
      <c r="D147" s="7"/>
      <c r="E147" s="7" t="str">
        <f aca="false">IF(AND(C147&lt;&gt;"",D147&lt;&gt;""),IF(TIMEVALUE(D147)&gt;TIMEVALUE(C147),(TIMEVALUE(D147)-TIMEVALUE(C147))*24,(1-TIMEVALUE(C147)+TIMEVALUE(D147))*24),"")</f>
        <v/>
      </c>
      <c r="F147" s="7"/>
      <c r="G147" s="7"/>
      <c r="H147" s="7"/>
      <c r="I147" s="7"/>
      <c r="J147" s="7"/>
      <c r="K147" s="7"/>
      <c r="L147" s="7" t="str">
        <f aca="false">IF(B147="","",ROUND(MAX(0,30-ABS(E147-7.5)*10)+MAX(0,20-ABS(F147-20)*2)+MAX(0,15-ABS(G147-22)*1.5)+MAX(0,10-ABS(H147-52)/2)+IF(I147="","",MAX(0,10-MAX(0,I147-5)*2))+IF(J147="yes",10,IF(J147="manual",5,0))+MIN(5,K147*0.5),0))</f>
        <v/>
      </c>
    </row>
    <row r="148" customFormat="false" ht="15" hidden="false" customHeight="false" outlineLevel="0" collapsed="false">
      <c r="A148" s="8"/>
      <c r="B148" s="8"/>
      <c r="C148" s="8"/>
      <c r="D148" s="8"/>
      <c r="E148" s="8" t="str">
        <f aca="false">IF(AND(C148&lt;&gt;"",D148&lt;&gt;""),IF(TIMEVALUE(D148)&gt;TIMEVALUE(C148),(TIMEVALUE(D148)-TIMEVALUE(C148))*24,(1-TIMEVALUE(C148)+TIMEVALUE(D148))*24),"")</f>
        <v/>
      </c>
      <c r="F148" s="8"/>
      <c r="G148" s="8"/>
      <c r="H148" s="8"/>
      <c r="I148" s="8"/>
      <c r="J148" s="8"/>
      <c r="K148" s="8"/>
      <c r="L148" s="8" t="str">
        <f aca="false">IF(B148="","",ROUND(MAX(0,30-ABS(E148-7.5)*10)+MAX(0,20-ABS(F148-20)*2)+MAX(0,15-ABS(G148-22)*1.5)+MAX(0,10-ABS(H148-52)/2)+IF(I148="","",MAX(0,10-MAX(0,I148-5)*2))+IF(J148="yes",10,IF(J148="manual",5,0))+MIN(5,K148*0.5),0))</f>
        <v/>
      </c>
    </row>
    <row r="149" customFormat="false" ht="15" hidden="false" customHeight="false" outlineLevel="0" collapsed="false">
      <c r="A149" s="7"/>
      <c r="B149" s="7"/>
      <c r="C149" s="7"/>
      <c r="D149" s="7"/>
      <c r="E149" s="7" t="str">
        <f aca="false">IF(AND(C149&lt;&gt;"",D149&lt;&gt;""),IF(TIMEVALUE(D149)&gt;TIMEVALUE(C149),(TIMEVALUE(D149)-TIMEVALUE(C149))*24,(1-TIMEVALUE(C149)+TIMEVALUE(D149))*24),"")</f>
        <v/>
      </c>
      <c r="F149" s="7"/>
      <c r="G149" s="7"/>
      <c r="H149" s="7"/>
      <c r="I149" s="7"/>
      <c r="J149" s="7"/>
      <c r="K149" s="7"/>
      <c r="L149" s="7" t="str">
        <f aca="false">IF(B149="","",ROUND(MAX(0,30-ABS(E149-7.5)*10)+MAX(0,20-ABS(F149-20)*2)+MAX(0,15-ABS(G149-22)*1.5)+MAX(0,10-ABS(H149-52)/2)+IF(I149="","",MAX(0,10-MAX(0,I149-5)*2))+IF(J149="yes",10,IF(J149="manual",5,0))+MIN(5,K149*0.5),0))</f>
        <v/>
      </c>
    </row>
    <row r="150" customFormat="false" ht="15" hidden="false" customHeight="false" outlineLevel="0" collapsed="false">
      <c r="A150" s="8"/>
      <c r="B150" s="8"/>
      <c r="C150" s="8"/>
      <c r="D150" s="8"/>
      <c r="E150" s="8" t="str">
        <f aca="false">IF(AND(C150&lt;&gt;"",D150&lt;&gt;""),IF(TIMEVALUE(D150)&gt;TIMEVALUE(C150),(TIMEVALUE(D150)-TIMEVALUE(C150))*24,(1-TIMEVALUE(C150)+TIMEVALUE(D150))*24),"")</f>
        <v/>
      </c>
      <c r="F150" s="8"/>
      <c r="G150" s="8"/>
      <c r="H150" s="8"/>
      <c r="I150" s="8"/>
      <c r="J150" s="8"/>
      <c r="K150" s="8"/>
      <c r="L150" s="8" t="str">
        <f aca="false">IF(B150="","",ROUND(MAX(0,30-ABS(E150-7.5)*10)+MAX(0,20-ABS(F150-20)*2)+MAX(0,15-ABS(G150-22)*1.5)+MAX(0,10-ABS(H150-52)/2)+IF(I150="","",MAX(0,10-MAX(0,I150-5)*2))+IF(J150="yes",10,IF(J150="manual",5,0))+MIN(5,K150*0.5),0))</f>
        <v/>
      </c>
    </row>
    <row r="151" customFormat="false" ht="15" hidden="false" customHeight="false" outlineLevel="0" collapsed="false">
      <c r="A151" s="7"/>
      <c r="B151" s="7"/>
      <c r="C151" s="7"/>
      <c r="D151" s="7"/>
      <c r="E151" s="7" t="str">
        <f aca="false">IF(AND(C151&lt;&gt;"",D151&lt;&gt;""),IF(TIMEVALUE(D151)&gt;TIMEVALUE(C151),(TIMEVALUE(D151)-TIMEVALUE(C151))*24,(1-TIMEVALUE(C151)+TIMEVALUE(D151))*24),"")</f>
        <v/>
      </c>
      <c r="F151" s="7"/>
      <c r="G151" s="7"/>
      <c r="H151" s="7"/>
      <c r="I151" s="7"/>
      <c r="J151" s="7"/>
      <c r="K151" s="7"/>
      <c r="L151" s="7" t="str">
        <f aca="false">IF(B151="","",ROUND(MAX(0,30-ABS(E151-7.5)*10)+MAX(0,20-ABS(F151-20)*2)+MAX(0,15-ABS(G151-22)*1.5)+MAX(0,10-ABS(H151-52)/2)+IF(I151="","",MAX(0,10-MAX(0,I151-5)*2))+IF(J151="yes",10,IF(J151="manual",5,0))+MIN(5,K151*0.5),0))</f>
        <v/>
      </c>
    </row>
    <row r="152" customFormat="false" ht="15" hidden="false" customHeight="false" outlineLevel="0" collapsed="false">
      <c r="A152" s="8"/>
      <c r="B152" s="8"/>
      <c r="C152" s="8"/>
      <c r="D152" s="8"/>
      <c r="E152" s="8" t="str">
        <f aca="false">IF(AND(C152&lt;&gt;"",D152&lt;&gt;""),IF(TIMEVALUE(D152)&gt;TIMEVALUE(C152),(TIMEVALUE(D152)-TIMEVALUE(C152))*24,(1-TIMEVALUE(C152)+TIMEVALUE(D152))*24),"")</f>
        <v/>
      </c>
      <c r="F152" s="8"/>
      <c r="G152" s="8"/>
      <c r="H152" s="8"/>
      <c r="I152" s="8"/>
      <c r="J152" s="8"/>
      <c r="K152" s="8"/>
      <c r="L152" s="8" t="str">
        <f aca="false">IF(B152="","",ROUND(MAX(0,30-ABS(E152-7.5)*10)+MAX(0,20-ABS(F152-20)*2)+MAX(0,15-ABS(G152-22)*1.5)+MAX(0,10-ABS(H152-52)/2)+IF(I152="","",MAX(0,10-MAX(0,I152-5)*2))+IF(J152="yes",10,IF(J152="manual",5,0))+MIN(5,K152*0.5),0))</f>
        <v/>
      </c>
    </row>
    <row r="153" customFormat="false" ht="15" hidden="false" customHeight="false" outlineLevel="0" collapsed="false">
      <c r="A153" s="7"/>
      <c r="B153" s="7"/>
      <c r="C153" s="7"/>
      <c r="D153" s="7"/>
      <c r="E153" s="7" t="str">
        <f aca="false">IF(AND(C153&lt;&gt;"",D153&lt;&gt;""),IF(TIMEVALUE(D153)&gt;TIMEVALUE(C153),(TIMEVALUE(D153)-TIMEVALUE(C153))*24,(1-TIMEVALUE(C153)+TIMEVALUE(D153))*24),"")</f>
        <v/>
      </c>
      <c r="F153" s="7"/>
      <c r="G153" s="7"/>
      <c r="H153" s="7"/>
      <c r="I153" s="7"/>
      <c r="J153" s="7"/>
      <c r="K153" s="7"/>
      <c r="L153" s="7" t="str">
        <f aca="false">IF(B153="","",ROUND(MAX(0,30-ABS(E153-7.5)*10)+MAX(0,20-ABS(F153-20)*2)+MAX(0,15-ABS(G153-22)*1.5)+MAX(0,10-ABS(H153-52)/2)+IF(I153="","",MAX(0,10-MAX(0,I153-5)*2))+IF(J153="yes",10,IF(J153="manual",5,0))+MIN(5,K153*0.5),0))</f>
        <v/>
      </c>
    </row>
    <row r="154" customFormat="false" ht="15" hidden="false" customHeight="false" outlineLevel="0" collapsed="false">
      <c r="A154" s="8"/>
      <c r="B154" s="8"/>
      <c r="C154" s="8"/>
      <c r="D154" s="8"/>
      <c r="E154" s="8" t="str">
        <f aca="false">IF(AND(C154&lt;&gt;"",D154&lt;&gt;""),IF(TIMEVALUE(D154)&gt;TIMEVALUE(C154),(TIMEVALUE(D154)-TIMEVALUE(C154))*24,(1-TIMEVALUE(C154)+TIMEVALUE(D154))*24),"")</f>
        <v/>
      </c>
      <c r="F154" s="8"/>
      <c r="G154" s="8"/>
      <c r="H154" s="8"/>
      <c r="I154" s="8"/>
      <c r="J154" s="8"/>
      <c r="K154" s="8"/>
      <c r="L154" s="8" t="str">
        <f aca="false">IF(B154="","",ROUND(MAX(0,30-ABS(E154-7.5)*10)+MAX(0,20-ABS(F154-20)*2)+MAX(0,15-ABS(G154-22)*1.5)+MAX(0,10-ABS(H154-52)/2)+IF(I154="","",MAX(0,10-MAX(0,I154-5)*2))+IF(J154="yes",10,IF(J154="manual",5,0))+MIN(5,K154*0.5),0))</f>
        <v/>
      </c>
    </row>
    <row r="155" customFormat="false" ht="15" hidden="false" customHeight="false" outlineLevel="0" collapsed="false">
      <c r="A155" s="7"/>
      <c r="B155" s="7"/>
      <c r="C155" s="7"/>
      <c r="D155" s="7"/>
      <c r="E155" s="7" t="str">
        <f aca="false">IF(AND(C155&lt;&gt;"",D155&lt;&gt;""),IF(TIMEVALUE(D155)&gt;TIMEVALUE(C155),(TIMEVALUE(D155)-TIMEVALUE(C155))*24,(1-TIMEVALUE(C155)+TIMEVALUE(D155))*24),"")</f>
        <v/>
      </c>
      <c r="F155" s="7"/>
      <c r="G155" s="7"/>
      <c r="H155" s="7"/>
      <c r="I155" s="7"/>
      <c r="J155" s="7"/>
      <c r="K155" s="7"/>
      <c r="L155" s="7" t="str">
        <f aca="false">IF(B155="","",ROUND(MAX(0,30-ABS(E155-7.5)*10)+MAX(0,20-ABS(F155-20)*2)+MAX(0,15-ABS(G155-22)*1.5)+MAX(0,10-ABS(H155-52)/2)+IF(I155="","",MAX(0,10-MAX(0,I155-5)*2))+IF(J155="yes",10,IF(J155="manual",5,0))+MIN(5,K155*0.5),0))</f>
        <v/>
      </c>
    </row>
    <row r="156" customFormat="false" ht="15" hidden="false" customHeight="false" outlineLevel="0" collapsed="false">
      <c r="A156" s="8"/>
      <c r="B156" s="8"/>
      <c r="C156" s="8"/>
      <c r="D156" s="8"/>
      <c r="E156" s="8" t="str">
        <f aca="false">IF(AND(C156&lt;&gt;"",D156&lt;&gt;""),IF(TIMEVALUE(D156)&gt;TIMEVALUE(C156),(TIMEVALUE(D156)-TIMEVALUE(C156))*24,(1-TIMEVALUE(C156)+TIMEVALUE(D156))*24),"")</f>
        <v/>
      </c>
      <c r="F156" s="8"/>
      <c r="G156" s="8"/>
      <c r="H156" s="8"/>
      <c r="I156" s="8"/>
      <c r="J156" s="8"/>
      <c r="K156" s="8"/>
      <c r="L156" s="8" t="str">
        <f aca="false">IF(B156="","",ROUND(MAX(0,30-ABS(E156-7.5)*10)+MAX(0,20-ABS(F156-20)*2)+MAX(0,15-ABS(G156-22)*1.5)+MAX(0,10-ABS(H156-52)/2)+IF(I156="","",MAX(0,10-MAX(0,I156-5)*2))+IF(J156="yes",10,IF(J156="manual",5,0))+MIN(5,K156*0.5),0))</f>
        <v/>
      </c>
    </row>
    <row r="157" customFormat="false" ht="15" hidden="false" customHeight="false" outlineLevel="0" collapsed="false">
      <c r="A157" s="7"/>
      <c r="B157" s="7"/>
      <c r="C157" s="7"/>
      <c r="D157" s="7"/>
      <c r="E157" s="7" t="str">
        <f aca="false">IF(AND(C157&lt;&gt;"",D157&lt;&gt;""),IF(TIMEVALUE(D157)&gt;TIMEVALUE(C157),(TIMEVALUE(D157)-TIMEVALUE(C157))*24,(1-TIMEVALUE(C157)+TIMEVALUE(D157))*24),"")</f>
        <v/>
      </c>
      <c r="F157" s="7"/>
      <c r="G157" s="7"/>
      <c r="H157" s="7"/>
      <c r="I157" s="7"/>
      <c r="J157" s="7"/>
      <c r="K157" s="7"/>
      <c r="L157" s="7" t="str">
        <f aca="false">IF(B157="","",ROUND(MAX(0,30-ABS(E157-7.5)*10)+MAX(0,20-ABS(F157-20)*2)+MAX(0,15-ABS(G157-22)*1.5)+MAX(0,10-ABS(H157-52)/2)+IF(I157="","",MAX(0,10-MAX(0,I157-5)*2))+IF(J157="yes",10,IF(J157="manual",5,0))+MIN(5,K157*0.5),0))</f>
        <v/>
      </c>
    </row>
    <row r="158" customFormat="false" ht="15" hidden="false" customHeight="false" outlineLevel="0" collapsed="false">
      <c r="A158" s="8"/>
      <c r="B158" s="8"/>
      <c r="C158" s="8"/>
      <c r="D158" s="8"/>
      <c r="E158" s="8" t="str">
        <f aca="false">IF(AND(C158&lt;&gt;"",D158&lt;&gt;""),IF(TIMEVALUE(D158)&gt;TIMEVALUE(C158),(TIMEVALUE(D158)-TIMEVALUE(C158))*24,(1-TIMEVALUE(C158)+TIMEVALUE(D158))*24),"")</f>
        <v/>
      </c>
      <c r="F158" s="8"/>
      <c r="G158" s="8"/>
      <c r="H158" s="8"/>
      <c r="I158" s="8"/>
      <c r="J158" s="8"/>
      <c r="K158" s="8"/>
      <c r="L158" s="8" t="str">
        <f aca="false">IF(B158="","",ROUND(MAX(0,30-ABS(E158-7.5)*10)+MAX(0,20-ABS(F158-20)*2)+MAX(0,15-ABS(G158-22)*1.5)+MAX(0,10-ABS(H158-52)/2)+IF(I158="","",MAX(0,10-MAX(0,I158-5)*2))+IF(J158="yes",10,IF(J158="manual",5,0))+MIN(5,K158*0.5),0))</f>
        <v/>
      </c>
    </row>
    <row r="159" customFormat="false" ht="15" hidden="false" customHeight="false" outlineLevel="0" collapsed="false">
      <c r="A159" s="7"/>
      <c r="B159" s="7"/>
      <c r="C159" s="7"/>
      <c r="D159" s="7"/>
      <c r="E159" s="7" t="str">
        <f aca="false">IF(AND(C159&lt;&gt;"",D159&lt;&gt;""),IF(TIMEVALUE(D159)&gt;TIMEVALUE(C159),(TIMEVALUE(D159)-TIMEVALUE(C159))*24,(1-TIMEVALUE(C159)+TIMEVALUE(D159))*24),"")</f>
        <v/>
      </c>
      <c r="F159" s="7"/>
      <c r="G159" s="7"/>
      <c r="H159" s="7"/>
      <c r="I159" s="7"/>
      <c r="J159" s="7"/>
      <c r="K159" s="7"/>
      <c r="L159" s="7" t="str">
        <f aca="false">IF(B159="","",ROUND(MAX(0,30-ABS(E159-7.5)*10)+MAX(0,20-ABS(F159-20)*2)+MAX(0,15-ABS(G159-22)*1.5)+MAX(0,10-ABS(H159-52)/2)+IF(I159="","",MAX(0,10-MAX(0,I159-5)*2))+IF(J159="yes",10,IF(J159="manual",5,0))+MIN(5,K159*0.5),0))</f>
        <v/>
      </c>
    </row>
    <row r="160" customFormat="false" ht="15" hidden="false" customHeight="false" outlineLevel="0" collapsed="false">
      <c r="A160" s="8"/>
      <c r="B160" s="8"/>
      <c r="C160" s="8"/>
      <c r="D160" s="8"/>
      <c r="E160" s="8" t="str">
        <f aca="false">IF(AND(C160&lt;&gt;"",D160&lt;&gt;""),IF(TIMEVALUE(D160)&gt;TIMEVALUE(C160),(TIMEVALUE(D160)-TIMEVALUE(C160))*24,(1-TIMEVALUE(C160)+TIMEVALUE(D160))*24),"")</f>
        <v/>
      </c>
      <c r="F160" s="8"/>
      <c r="G160" s="8"/>
      <c r="H160" s="8"/>
      <c r="I160" s="8"/>
      <c r="J160" s="8"/>
      <c r="K160" s="8"/>
      <c r="L160" s="8" t="str">
        <f aca="false">IF(B160="","",ROUND(MAX(0,30-ABS(E160-7.5)*10)+MAX(0,20-ABS(F160-20)*2)+MAX(0,15-ABS(G160-22)*1.5)+MAX(0,10-ABS(H160-52)/2)+IF(I160="","",MAX(0,10-MAX(0,I160-5)*2))+IF(J160="yes",10,IF(J160="manual",5,0))+MIN(5,K160*0.5),0))</f>
        <v/>
      </c>
    </row>
    <row r="161" customFormat="false" ht="15" hidden="false" customHeight="false" outlineLevel="0" collapsed="false">
      <c r="A161" s="7"/>
      <c r="B161" s="7"/>
      <c r="C161" s="7"/>
      <c r="D161" s="7"/>
      <c r="E161" s="7" t="str">
        <f aca="false">IF(AND(C161&lt;&gt;"",D161&lt;&gt;""),IF(TIMEVALUE(D161)&gt;TIMEVALUE(C161),(TIMEVALUE(D161)-TIMEVALUE(C161))*24,(1-TIMEVALUE(C161)+TIMEVALUE(D161))*24),"")</f>
        <v/>
      </c>
      <c r="F161" s="7"/>
      <c r="G161" s="7"/>
      <c r="H161" s="7"/>
      <c r="I161" s="7"/>
      <c r="J161" s="7"/>
      <c r="K161" s="7"/>
      <c r="L161" s="7" t="str">
        <f aca="false">IF(B161="","",ROUND(MAX(0,30-ABS(E161-7.5)*10)+MAX(0,20-ABS(F161-20)*2)+MAX(0,15-ABS(G161-22)*1.5)+MAX(0,10-ABS(H161-52)/2)+IF(I161="","",MAX(0,10-MAX(0,I161-5)*2))+IF(J161="yes",10,IF(J161="manual",5,0))+MIN(5,K161*0.5),0))</f>
        <v/>
      </c>
    </row>
    <row r="162" customFormat="false" ht="15" hidden="false" customHeight="false" outlineLevel="0" collapsed="false">
      <c r="A162" s="8"/>
      <c r="B162" s="8"/>
      <c r="C162" s="8"/>
      <c r="D162" s="8"/>
      <c r="E162" s="8" t="str">
        <f aca="false">IF(AND(C162&lt;&gt;"",D162&lt;&gt;""),IF(TIMEVALUE(D162)&gt;TIMEVALUE(C162),(TIMEVALUE(D162)-TIMEVALUE(C162))*24,(1-TIMEVALUE(C162)+TIMEVALUE(D162))*24),"")</f>
        <v/>
      </c>
      <c r="F162" s="8"/>
      <c r="G162" s="8"/>
      <c r="H162" s="8"/>
      <c r="I162" s="8"/>
      <c r="J162" s="8"/>
      <c r="K162" s="8"/>
      <c r="L162" s="8" t="str">
        <f aca="false">IF(B162="","",ROUND(MAX(0,30-ABS(E162-7.5)*10)+MAX(0,20-ABS(F162-20)*2)+MAX(0,15-ABS(G162-22)*1.5)+MAX(0,10-ABS(H162-52)/2)+IF(I162="","",MAX(0,10-MAX(0,I162-5)*2))+IF(J162="yes",10,IF(J162="manual",5,0))+MIN(5,K162*0.5),0))</f>
        <v/>
      </c>
    </row>
    <row r="163" customFormat="false" ht="15" hidden="false" customHeight="false" outlineLevel="0" collapsed="false">
      <c r="A163" s="7"/>
      <c r="B163" s="7"/>
      <c r="C163" s="7"/>
      <c r="D163" s="7"/>
      <c r="E163" s="7" t="str">
        <f aca="false">IF(AND(C163&lt;&gt;"",D163&lt;&gt;""),IF(TIMEVALUE(D163)&gt;TIMEVALUE(C163),(TIMEVALUE(D163)-TIMEVALUE(C163))*24,(1-TIMEVALUE(C163)+TIMEVALUE(D163))*24),"")</f>
        <v/>
      </c>
      <c r="F163" s="7"/>
      <c r="G163" s="7"/>
      <c r="H163" s="7"/>
      <c r="I163" s="7"/>
      <c r="J163" s="7"/>
      <c r="K163" s="7"/>
      <c r="L163" s="7" t="str">
        <f aca="false">IF(B163="","",ROUND(MAX(0,30-ABS(E163-7.5)*10)+MAX(0,20-ABS(F163-20)*2)+MAX(0,15-ABS(G163-22)*1.5)+MAX(0,10-ABS(H163-52)/2)+IF(I163="","",MAX(0,10-MAX(0,I163-5)*2))+IF(J163="yes",10,IF(J163="manual",5,0))+MIN(5,K163*0.5),0))</f>
        <v/>
      </c>
    </row>
    <row r="164" customFormat="false" ht="15" hidden="false" customHeight="false" outlineLevel="0" collapsed="false">
      <c r="A164" s="8"/>
      <c r="B164" s="8"/>
      <c r="C164" s="8"/>
      <c r="D164" s="8"/>
      <c r="E164" s="8" t="str">
        <f aca="false">IF(AND(C164&lt;&gt;"",D164&lt;&gt;""),IF(TIMEVALUE(D164)&gt;TIMEVALUE(C164),(TIMEVALUE(D164)-TIMEVALUE(C164))*24,(1-TIMEVALUE(C164)+TIMEVALUE(D164))*24),"")</f>
        <v/>
      </c>
      <c r="F164" s="8"/>
      <c r="G164" s="8"/>
      <c r="H164" s="8"/>
      <c r="I164" s="8"/>
      <c r="J164" s="8"/>
      <c r="K164" s="8"/>
      <c r="L164" s="8" t="str">
        <f aca="false">IF(B164="","",ROUND(MAX(0,30-ABS(E164-7.5)*10)+MAX(0,20-ABS(F164-20)*2)+MAX(0,15-ABS(G164-22)*1.5)+MAX(0,10-ABS(H164-52)/2)+IF(I164="","",MAX(0,10-MAX(0,I164-5)*2))+IF(J164="yes",10,IF(J164="manual",5,0))+MIN(5,K164*0.5),0))</f>
        <v/>
      </c>
    </row>
    <row r="165" customFormat="false" ht="15" hidden="false" customHeight="false" outlineLevel="0" collapsed="false">
      <c r="A165" s="7"/>
      <c r="B165" s="7"/>
      <c r="C165" s="7"/>
      <c r="D165" s="7"/>
      <c r="E165" s="7" t="str">
        <f aca="false">IF(AND(C165&lt;&gt;"",D165&lt;&gt;""),IF(TIMEVALUE(D165)&gt;TIMEVALUE(C165),(TIMEVALUE(D165)-TIMEVALUE(C165))*24,(1-TIMEVALUE(C165)+TIMEVALUE(D165))*24),"")</f>
        <v/>
      </c>
      <c r="F165" s="7"/>
      <c r="G165" s="7"/>
      <c r="H165" s="7"/>
      <c r="I165" s="7"/>
      <c r="J165" s="7"/>
      <c r="K165" s="7"/>
      <c r="L165" s="7" t="str">
        <f aca="false">IF(B165="","",ROUND(MAX(0,30-ABS(E165-7.5)*10)+MAX(0,20-ABS(F165-20)*2)+MAX(0,15-ABS(G165-22)*1.5)+MAX(0,10-ABS(H165-52)/2)+IF(I165="","",MAX(0,10-MAX(0,I165-5)*2))+IF(J165="yes",10,IF(J165="manual",5,0))+MIN(5,K165*0.5),0))</f>
        <v/>
      </c>
    </row>
    <row r="166" customFormat="false" ht="15" hidden="false" customHeight="false" outlineLevel="0" collapsed="false">
      <c r="A166" s="8"/>
      <c r="B166" s="8"/>
      <c r="C166" s="8"/>
      <c r="D166" s="8"/>
      <c r="E166" s="8" t="str">
        <f aca="false">IF(AND(C166&lt;&gt;"",D166&lt;&gt;""),IF(TIMEVALUE(D166)&gt;TIMEVALUE(C166),(TIMEVALUE(D166)-TIMEVALUE(C166))*24,(1-TIMEVALUE(C166)+TIMEVALUE(D166))*24),"")</f>
        <v/>
      </c>
      <c r="F166" s="8"/>
      <c r="G166" s="8"/>
      <c r="H166" s="8"/>
      <c r="I166" s="8"/>
      <c r="J166" s="8"/>
      <c r="K166" s="8"/>
      <c r="L166" s="8" t="str">
        <f aca="false">IF(B166="","",ROUND(MAX(0,30-ABS(E166-7.5)*10)+MAX(0,20-ABS(F166-20)*2)+MAX(0,15-ABS(G166-22)*1.5)+MAX(0,10-ABS(H166-52)/2)+IF(I166="","",MAX(0,10-MAX(0,I166-5)*2))+IF(J166="yes",10,IF(J166="manual",5,0))+MIN(5,K166*0.5),0))</f>
        <v/>
      </c>
    </row>
    <row r="167" customFormat="false" ht="15" hidden="false" customHeight="false" outlineLevel="0" collapsed="false">
      <c r="A167" s="7"/>
      <c r="B167" s="7"/>
      <c r="C167" s="7"/>
      <c r="D167" s="7"/>
      <c r="E167" s="7" t="str">
        <f aca="false">IF(AND(C167&lt;&gt;"",D167&lt;&gt;""),IF(TIMEVALUE(D167)&gt;TIMEVALUE(C167),(TIMEVALUE(D167)-TIMEVALUE(C167))*24,(1-TIMEVALUE(C167)+TIMEVALUE(D167))*24),"")</f>
        <v/>
      </c>
      <c r="F167" s="7"/>
      <c r="G167" s="7"/>
      <c r="H167" s="7"/>
      <c r="I167" s="7"/>
      <c r="J167" s="7"/>
      <c r="K167" s="7"/>
      <c r="L167" s="7" t="str">
        <f aca="false">IF(B167="","",ROUND(MAX(0,30-ABS(E167-7.5)*10)+MAX(0,20-ABS(F167-20)*2)+MAX(0,15-ABS(G167-22)*1.5)+MAX(0,10-ABS(H167-52)/2)+IF(I167="","",MAX(0,10-MAX(0,I167-5)*2))+IF(J167="yes",10,IF(J167="manual",5,0))+MIN(5,K167*0.5),0))</f>
        <v/>
      </c>
    </row>
    <row r="168" customFormat="false" ht="15" hidden="false" customHeight="false" outlineLevel="0" collapsed="false">
      <c r="A168" s="8"/>
      <c r="B168" s="8"/>
      <c r="C168" s="8"/>
      <c r="D168" s="8"/>
      <c r="E168" s="8" t="str">
        <f aca="false">IF(AND(C168&lt;&gt;"",D168&lt;&gt;""),IF(TIMEVALUE(D168)&gt;TIMEVALUE(C168),(TIMEVALUE(D168)-TIMEVALUE(C168))*24,(1-TIMEVALUE(C168)+TIMEVALUE(D168))*24),"")</f>
        <v/>
      </c>
      <c r="F168" s="8"/>
      <c r="G168" s="8"/>
      <c r="H168" s="8"/>
      <c r="I168" s="8"/>
      <c r="J168" s="8"/>
      <c r="K168" s="8"/>
      <c r="L168" s="8" t="str">
        <f aca="false">IF(B168="","",ROUND(MAX(0,30-ABS(E168-7.5)*10)+MAX(0,20-ABS(F168-20)*2)+MAX(0,15-ABS(G168-22)*1.5)+MAX(0,10-ABS(H168-52)/2)+IF(I168="","",MAX(0,10-MAX(0,I168-5)*2))+IF(J168="yes",10,IF(J168="manual",5,0))+MIN(5,K168*0.5),0))</f>
        <v/>
      </c>
    </row>
    <row r="169" customFormat="false" ht="15" hidden="false" customHeight="false" outlineLevel="0" collapsed="false">
      <c r="A169" s="7"/>
      <c r="B169" s="7"/>
      <c r="C169" s="7"/>
      <c r="D169" s="7"/>
      <c r="E169" s="7" t="str">
        <f aca="false">IF(AND(C169&lt;&gt;"",D169&lt;&gt;""),IF(TIMEVALUE(D169)&gt;TIMEVALUE(C169),(TIMEVALUE(D169)-TIMEVALUE(C169))*24,(1-TIMEVALUE(C169)+TIMEVALUE(D169))*24),"")</f>
        <v/>
      </c>
      <c r="F169" s="7"/>
      <c r="G169" s="7"/>
      <c r="H169" s="7"/>
      <c r="I169" s="7"/>
      <c r="J169" s="7"/>
      <c r="K169" s="7"/>
      <c r="L169" s="7" t="str">
        <f aca="false">IF(B169="","",ROUND(MAX(0,30-ABS(E169-7.5)*10)+MAX(0,20-ABS(F169-20)*2)+MAX(0,15-ABS(G169-22)*1.5)+MAX(0,10-ABS(H169-52)/2)+IF(I169="","",MAX(0,10-MAX(0,I169-5)*2))+IF(J169="yes",10,IF(J169="manual",5,0))+MIN(5,K169*0.5),0))</f>
        <v/>
      </c>
    </row>
    <row r="170" customFormat="false" ht="15" hidden="false" customHeight="false" outlineLevel="0" collapsed="false">
      <c r="A170" s="8"/>
      <c r="B170" s="8"/>
      <c r="C170" s="8"/>
      <c r="D170" s="8"/>
      <c r="E170" s="8" t="str">
        <f aca="false">IF(AND(C170&lt;&gt;"",D170&lt;&gt;""),IF(TIMEVALUE(D170)&gt;TIMEVALUE(C170),(TIMEVALUE(D170)-TIMEVALUE(C170))*24,(1-TIMEVALUE(C170)+TIMEVALUE(D170))*24),"")</f>
        <v/>
      </c>
      <c r="F170" s="8"/>
      <c r="G170" s="8"/>
      <c r="H170" s="8"/>
      <c r="I170" s="8"/>
      <c r="J170" s="8"/>
      <c r="K170" s="8"/>
      <c r="L170" s="8" t="str">
        <f aca="false">IF(B170="","",ROUND(MAX(0,30-ABS(E170-7.5)*10)+MAX(0,20-ABS(F170-20)*2)+MAX(0,15-ABS(G170-22)*1.5)+MAX(0,10-ABS(H170-52)/2)+IF(I170="","",MAX(0,10-MAX(0,I170-5)*2))+IF(J170="yes",10,IF(J170="manual",5,0))+MIN(5,K170*0.5),0))</f>
        <v/>
      </c>
    </row>
    <row r="171" customFormat="false" ht="15" hidden="false" customHeight="false" outlineLevel="0" collapsed="false">
      <c r="A171" s="7"/>
      <c r="B171" s="7"/>
      <c r="C171" s="7"/>
      <c r="D171" s="7"/>
      <c r="E171" s="7" t="str">
        <f aca="false">IF(AND(C171&lt;&gt;"",D171&lt;&gt;""),IF(TIMEVALUE(D171)&gt;TIMEVALUE(C171),(TIMEVALUE(D171)-TIMEVALUE(C171))*24,(1-TIMEVALUE(C171)+TIMEVALUE(D171))*24),"")</f>
        <v/>
      </c>
      <c r="F171" s="7"/>
      <c r="G171" s="7"/>
      <c r="H171" s="7"/>
      <c r="I171" s="7"/>
      <c r="J171" s="7"/>
      <c r="K171" s="7"/>
      <c r="L171" s="7" t="str">
        <f aca="false">IF(B171="","",ROUND(MAX(0,30-ABS(E171-7.5)*10)+MAX(0,20-ABS(F171-20)*2)+MAX(0,15-ABS(G171-22)*1.5)+MAX(0,10-ABS(H171-52)/2)+IF(I171="","",MAX(0,10-MAX(0,I171-5)*2))+IF(J171="yes",10,IF(J171="manual",5,0))+MIN(5,K171*0.5),0))</f>
        <v/>
      </c>
    </row>
    <row r="172" customFormat="false" ht="15" hidden="false" customHeight="false" outlineLevel="0" collapsed="false">
      <c r="A172" s="8"/>
      <c r="B172" s="8"/>
      <c r="C172" s="8"/>
      <c r="D172" s="8"/>
      <c r="E172" s="8" t="str">
        <f aca="false">IF(AND(C172&lt;&gt;"",D172&lt;&gt;""),IF(TIMEVALUE(D172)&gt;TIMEVALUE(C172),(TIMEVALUE(D172)-TIMEVALUE(C172))*24,(1-TIMEVALUE(C172)+TIMEVALUE(D172))*24),"")</f>
        <v/>
      </c>
      <c r="F172" s="8"/>
      <c r="G172" s="8"/>
      <c r="H172" s="8"/>
      <c r="I172" s="8"/>
      <c r="J172" s="8"/>
      <c r="K172" s="8"/>
      <c r="L172" s="8" t="str">
        <f aca="false">IF(B172="","",ROUND(MAX(0,30-ABS(E172-7.5)*10)+MAX(0,20-ABS(F172-20)*2)+MAX(0,15-ABS(G172-22)*1.5)+MAX(0,10-ABS(H172-52)/2)+IF(I172="","",MAX(0,10-MAX(0,I172-5)*2))+IF(J172="yes",10,IF(J172="manual",5,0))+MIN(5,K172*0.5),0))</f>
        <v/>
      </c>
    </row>
    <row r="173" customFormat="false" ht="15" hidden="false" customHeight="false" outlineLevel="0" collapsed="false">
      <c r="A173" s="7"/>
      <c r="B173" s="7"/>
      <c r="C173" s="7"/>
      <c r="D173" s="7"/>
      <c r="E173" s="7" t="str">
        <f aca="false">IF(AND(C173&lt;&gt;"",D173&lt;&gt;""),IF(TIMEVALUE(D173)&gt;TIMEVALUE(C173),(TIMEVALUE(D173)-TIMEVALUE(C173))*24,(1-TIMEVALUE(C173)+TIMEVALUE(D173))*24),"")</f>
        <v/>
      </c>
      <c r="F173" s="7"/>
      <c r="G173" s="7"/>
      <c r="H173" s="7"/>
      <c r="I173" s="7"/>
      <c r="J173" s="7"/>
      <c r="K173" s="7"/>
      <c r="L173" s="7" t="str">
        <f aca="false">IF(B173="","",ROUND(MAX(0,30-ABS(E173-7.5)*10)+MAX(0,20-ABS(F173-20)*2)+MAX(0,15-ABS(G173-22)*1.5)+MAX(0,10-ABS(H173-52)/2)+IF(I173="","",MAX(0,10-MAX(0,I173-5)*2))+IF(J173="yes",10,IF(J173="manual",5,0))+MIN(5,K173*0.5),0))</f>
        <v/>
      </c>
    </row>
    <row r="174" customFormat="false" ht="15" hidden="false" customHeight="false" outlineLevel="0" collapsed="false">
      <c r="A174" s="8"/>
      <c r="B174" s="8"/>
      <c r="C174" s="8"/>
      <c r="D174" s="8"/>
      <c r="E174" s="8" t="str">
        <f aca="false">IF(AND(C174&lt;&gt;"",D174&lt;&gt;""),IF(TIMEVALUE(D174)&gt;TIMEVALUE(C174),(TIMEVALUE(D174)-TIMEVALUE(C174))*24,(1-TIMEVALUE(C174)+TIMEVALUE(D174))*24),"")</f>
        <v/>
      </c>
      <c r="F174" s="8"/>
      <c r="G174" s="8"/>
      <c r="H174" s="8"/>
      <c r="I174" s="8"/>
      <c r="J174" s="8"/>
      <c r="K174" s="8"/>
      <c r="L174" s="8" t="str">
        <f aca="false">IF(B174="","",ROUND(MAX(0,30-ABS(E174-7.5)*10)+MAX(0,20-ABS(F174-20)*2)+MAX(0,15-ABS(G174-22)*1.5)+MAX(0,10-ABS(H174-52)/2)+IF(I174="","",MAX(0,10-MAX(0,I174-5)*2))+IF(J174="yes",10,IF(J174="manual",5,0))+MIN(5,K174*0.5),0))</f>
        <v/>
      </c>
    </row>
    <row r="175" customFormat="false" ht="15" hidden="false" customHeight="false" outlineLevel="0" collapsed="false">
      <c r="A175" s="7"/>
      <c r="B175" s="7"/>
      <c r="C175" s="7"/>
      <c r="D175" s="7"/>
      <c r="E175" s="7" t="str">
        <f aca="false">IF(AND(C175&lt;&gt;"",D175&lt;&gt;""),IF(TIMEVALUE(D175)&gt;TIMEVALUE(C175),(TIMEVALUE(D175)-TIMEVALUE(C175))*24,(1-TIMEVALUE(C175)+TIMEVALUE(D175))*24),"")</f>
        <v/>
      </c>
      <c r="F175" s="7"/>
      <c r="G175" s="7"/>
      <c r="H175" s="7"/>
      <c r="I175" s="7"/>
      <c r="J175" s="7"/>
      <c r="K175" s="7"/>
      <c r="L175" s="7" t="str">
        <f aca="false">IF(B175="","",ROUND(MAX(0,30-ABS(E175-7.5)*10)+MAX(0,20-ABS(F175-20)*2)+MAX(0,15-ABS(G175-22)*1.5)+MAX(0,10-ABS(H175-52)/2)+IF(I175="","",MAX(0,10-MAX(0,I175-5)*2))+IF(J175="yes",10,IF(J175="manual",5,0))+MIN(5,K175*0.5),0))</f>
        <v/>
      </c>
    </row>
    <row r="176" customFormat="false" ht="15" hidden="false" customHeight="false" outlineLevel="0" collapsed="false">
      <c r="A176" s="8"/>
      <c r="B176" s="8"/>
      <c r="C176" s="8"/>
      <c r="D176" s="8"/>
      <c r="E176" s="8" t="str">
        <f aca="false">IF(AND(C176&lt;&gt;"",D176&lt;&gt;""),IF(TIMEVALUE(D176)&gt;TIMEVALUE(C176),(TIMEVALUE(D176)-TIMEVALUE(C176))*24,(1-TIMEVALUE(C176)+TIMEVALUE(D176))*24),"")</f>
        <v/>
      </c>
      <c r="F176" s="8"/>
      <c r="G176" s="8"/>
      <c r="H176" s="8"/>
      <c r="I176" s="8"/>
      <c r="J176" s="8"/>
      <c r="K176" s="8"/>
      <c r="L176" s="8" t="str">
        <f aca="false">IF(B176="","",ROUND(MAX(0,30-ABS(E176-7.5)*10)+MAX(0,20-ABS(F176-20)*2)+MAX(0,15-ABS(G176-22)*1.5)+MAX(0,10-ABS(H176-52)/2)+IF(I176="","",MAX(0,10-MAX(0,I176-5)*2))+IF(J176="yes",10,IF(J176="manual",5,0))+MIN(5,K176*0.5),0))</f>
        <v/>
      </c>
    </row>
    <row r="177" customFormat="false" ht="15" hidden="false" customHeight="false" outlineLevel="0" collapsed="false">
      <c r="A177" s="7"/>
      <c r="B177" s="7"/>
      <c r="C177" s="7"/>
      <c r="D177" s="7"/>
      <c r="E177" s="7" t="str">
        <f aca="false">IF(AND(C177&lt;&gt;"",D177&lt;&gt;""),IF(TIMEVALUE(D177)&gt;TIMEVALUE(C177),(TIMEVALUE(D177)-TIMEVALUE(C177))*24,(1-TIMEVALUE(C177)+TIMEVALUE(D177))*24),"")</f>
        <v/>
      </c>
      <c r="F177" s="7"/>
      <c r="G177" s="7"/>
      <c r="H177" s="7"/>
      <c r="I177" s="7"/>
      <c r="J177" s="7"/>
      <c r="K177" s="7"/>
      <c r="L177" s="7" t="str">
        <f aca="false">IF(B177="","",ROUND(MAX(0,30-ABS(E177-7.5)*10)+MAX(0,20-ABS(F177-20)*2)+MAX(0,15-ABS(G177-22)*1.5)+MAX(0,10-ABS(H177-52)/2)+IF(I177="","",MAX(0,10-MAX(0,I177-5)*2))+IF(J177="yes",10,IF(J177="manual",5,0))+MIN(5,K177*0.5),0))</f>
        <v/>
      </c>
    </row>
    <row r="178" customFormat="false" ht="15" hidden="false" customHeight="false" outlineLevel="0" collapsed="false">
      <c r="A178" s="8"/>
      <c r="B178" s="8"/>
      <c r="C178" s="8"/>
      <c r="D178" s="8"/>
      <c r="E178" s="8" t="str">
        <f aca="false">IF(AND(C178&lt;&gt;"",D178&lt;&gt;""),IF(TIMEVALUE(D178)&gt;TIMEVALUE(C178),(TIMEVALUE(D178)-TIMEVALUE(C178))*24,(1-TIMEVALUE(C178)+TIMEVALUE(D178))*24),"")</f>
        <v/>
      </c>
      <c r="F178" s="8"/>
      <c r="G178" s="8"/>
      <c r="H178" s="8"/>
      <c r="I178" s="8"/>
      <c r="J178" s="8"/>
      <c r="K178" s="8"/>
      <c r="L178" s="8" t="str">
        <f aca="false">IF(B178="","",ROUND(MAX(0,30-ABS(E178-7.5)*10)+MAX(0,20-ABS(F178-20)*2)+MAX(0,15-ABS(G178-22)*1.5)+MAX(0,10-ABS(H178-52)/2)+IF(I178="","",MAX(0,10-MAX(0,I178-5)*2))+IF(J178="yes",10,IF(J178="manual",5,0))+MIN(5,K178*0.5),0))</f>
        <v/>
      </c>
    </row>
    <row r="179" customFormat="false" ht="15" hidden="false" customHeight="false" outlineLevel="0" collapsed="false">
      <c r="A179" s="7"/>
      <c r="B179" s="7"/>
      <c r="C179" s="7"/>
      <c r="D179" s="7"/>
      <c r="E179" s="7" t="str">
        <f aca="false">IF(AND(C179&lt;&gt;"",D179&lt;&gt;""),IF(TIMEVALUE(D179)&gt;TIMEVALUE(C179),(TIMEVALUE(D179)-TIMEVALUE(C179))*24,(1-TIMEVALUE(C179)+TIMEVALUE(D179))*24),"")</f>
        <v/>
      </c>
      <c r="F179" s="7"/>
      <c r="G179" s="7"/>
      <c r="H179" s="7"/>
      <c r="I179" s="7"/>
      <c r="J179" s="7"/>
      <c r="K179" s="7"/>
      <c r="L179" s="7" t="str">
        <f aca="false">IF(B179="","",ROUND(MAX(0,30-ABS(E179-7.5)*10)+MAX(0,20-ABS(F179-20)*2)+MAX(0,15-ABS(G179-22)*1.5)+MAX(0,10-ABS(H179-52)/2)+IF(I179="","",MAX(0,10-MAX(0,I179-5)*2))+IF(J179="yes",10,IF(J179="manual",5,0))+MIN(5,K179*0.5),0))</f>
        <v/>
      </c>
    </row>
    <row r="180" customFormat="false" ht="15" hidden="false" customHeight="false" outlineLevel="0" collapsed="false">
      <c r="A180" s="8"/>
      <c r="B180" s="8"/>
      <c r="C180" s="8"/>
      <c r="D180" s="8"/>
      <c r="E180" s="8" t="str">
        <f aca="false">IF(AND(C180&lt;&gt;"",D180&lt;&gt;""),IF(TIMEVALUE(D180)&gt;TIMEVALUE(C180),(TIMEVALUE(D180)-TIMEVALUE(C180))*24,(1-TIMEVALUE(C180)+TIMEVALUE(D180))*24),"")</f>
        <v/>
      </c>
      <c r="F180" s="8"/>
      <c r="G180" s="8"/>
      <c r="H180" s="8"/>
      <c r="I180" s="8"/>
      <c r="J180" s="8"/>
      <c r="K180" s="8"/>
      <c r="L180" s="8" t="str">
        <f aca="false">IF(B180="","",ROUND(MAX(0,30-ABS(E180-7.5)*10)+MAX(0,20-ABS(F180-20)*2)+MAX(0,15-ABS(G180-22)*1.5)+MAX(0,10-ABS(H180-52)/2)+IF(I180="","",MAX(0,10-MAX(0,I180-5)*2))+IF(J180="yes",10,IF(J180="manual",5,0))+MIN(5,K180*0.5),0))</f>
        <v/>
      </c>
    </row>
    <row r="181" customFormat="false" ht="15" hidden="false" customHeight="false" outlineLevel="0" collapsed="false">
      <c r="A181" s="7"/>
      <c r="B181" s="7"/>
      <c r="C181" s="7"/>
      <c r="D181" s="7"/>
      <c r="E181" s="7" t="str">
        <f aca="false">IF(AND(C181&lt;&gt;"",D181&lt;&gt;""),IF(TIMEVALUE(D181)&gt;TIMEVALUE(C181),(TIMEVALUE(D181)-TIMEVALUE(C181))*24,(1-TIMEVALUE(C181)+TIMEVALUE(D181))*24),"")</f>
        <v/>
      </c>
      <c r="F181" s="7"/>
      <c r="G181" s="7"/>
      <c r="H181" s="7"/>
      <c r="I181" s="7"/>
      <c r="J181" s="7"/>
      <c r="K181" s="7"/>
      <c r="L181" s="7" t="str">
        <f aca="false">IF(B181="","",ROUND(MAX(0,30-ABS(E181-7.5)*10)+MAX(0,20-ABS(F181-20)*2)+MAX(0,15-ABS(G181-22)*1.5)+MAX(0,10-ABS(H181-52)/2)+IF(I181="","",MAX(0,10-MAX(0,I181-5)*2))+IF(J181="yes",10,IF(J181="manual",5,0))+MIN(5,K181*0.5),0))</f>
        <v/>
      </c>
    </row>
    <row r="182" customFormat="false" ht="15" hidden="false" customHeight="false" outlineLevel="0" collapsed="false">
      <c r="A182" s="8"/>
      <c r="B182" s="8"/>
      <c r="C182" s="8"/>
      <c r="D182" s="8"/>
      <c r="E182" s="8" t="str">
        <f aca="false">IF(AND(C182&lt;&gt;"",D182&lt;&gt;""),IF(TIMEVALUE(D182)&gt;TIMEVALUE(C182),(TIMEVALUE(D182)-TIMEVALUE(C182))*24,(1-TIMEVALUE(C182)+TIMEVALUE(D182))*24),"")</f>
        <v/>
      </c>
      <c r="F182" s="8"/>
      <c r="G182" s="8"/>
      <c r="H182" s="8"/>
      <c r="I182" s="8"/>
      <c r="J182" s="8"/>
      <c r="K182" s="8"/>
      <c r="L182" s="8" t="str">
        <f aca="false">IF(B182="","",ROUND(MAX(0,30-ABS(E182-7.5)*10)+MAX(0,20-ABS(F182-20)*2)+MAX(0,15-ABS(G182-22)*1.5)+MAX(0,10-ABS(H182-52)/2)+IF(I182="","",MAX(0,10-MAX(0,I182-5)*2))+IF(J182="yes",10,IF(J182="manual",5,0))+MIN(5,K182*0.5),0))</f>
        <v/>
      </c>
    </row>
    <row r="183" customFormat="false" ht="15" hidden="false" customHeight="false" outlineLevel="0" collapsed="false">
      <c r="A183" s="7"/>
      <c r="B183" s="7"/>
      <c r="C183" s="7"/>
      <c r="D183" s="7"/>
      <c r="E183" s="7" t="str">
        <f aca="false">IF(AND(C183&lt;&gt;"",D183&lt;&gt;""),IF(TIMEVALUE(D183)&gt;TIMEVALUE(C183),(TIMEVALUE(D183)-TIMEVALUE(C183))*24,(1-TIMEVALUE(C183)+TIMEVALUE(D183))*24),"")</f>
        <v/>
      </c>
      <c r="F183" s="7"/>
      <c r="G183" s="7"/>
      <c r="H183" s="7"/>
      <c r="I183" s="7"/>
      <c r="J183" s="7"/>
      <c r="K183" s="7"/>
      <c r="L183" s="7" t="str">
        <f aca="false">IF(B183="","",ROUND(MAX(0,30-ABS(E183-7.5)*10)+MAX(0,20-ABS(F183-20)*2)+MAX(0,15-ABS(G183-22)*1.5)+MAX(0,10-ABS(H183-52)/2)+IF(I183="","",MAX(0,10-MAX(0,I183-5)*2))+IF(J183="yes",10,IF(J183="manual",5,0))+MIN(5,K183*0.5),0))</f>
        <v/>
      </c>
    </row>
    <row r="184" customFormat="false" ht="15" hidden="false" customHeight="false" outlineLevel="0" collapsed="false">
      <c r="A184" s="8"/>
      <c r="B184" s="8"/>
      <c r="C184" s="8"/>
      <c r="D184" s="8"/>
      <c r="E184" s="8" t="str">
        <f aca="false">IF(AND(C184&lt;&gt;"",D184&lt;&gt;""),IF(TIMEVALUE(D184)&gt;TIMEVALUE(C184),(TIMEVALUE(D184)-TIMEVALUE(C184))*24,(1-TIMEVALUE(C184)+TIMEVALUE(D184))*24),"")</f>
        <v/>
      </c>
      <c r="F184" s="8"/>
      <c r="G184" s="8"/>
      <c r="H184" s="8"/>
      <c r="I184" s="8"/>
      <c r="J184" s="8"/>
      <c r="K184" s="8"/>
      <c r="L184" s="8" t="str">
        <f aca="false">IF(B184="","",ROUND(MAX(0,30-ABS(E184-7.5)*10)+MAX(0,20-ABS(F184-20)*2)+MAX(0,15-ABS(G184-22)*1.5)+MAX(0,10-ABS(H184-52)/2)+IF(I184="","",MAX(0,10-MAX(0,I184-5)*2))+IF(J184="yes",10,IF(J184="manual",5,0))+MIN(5,K184*0.5),0))</f>
        <v/>
      </c>
    </row>
    <row r="185" customFormat="false" ht="15" hidden="false" customHeight="false" outlineLevel="0" collapsed="false">
      <c r="A185" s="7"/>
      <c r="B185" s="7"/>
      <c r="C185" s="7"/>
      <c r="D185" s="7"/>
      <c r="E185" s="7" t="str">
        <f aca="false">IF(AND(C185&lt;&gt;"",D185&lt;&gt;""),IF(TIMEVALUE(D185)&gt;TIMEVALUE(C185),(TIMEVALUE(D185)-TIMEVALUE(C185))*24,(1-TIMEVALUE(C185)+TIMEVALUE(D185))*24),"")</f>
        <v/>
      </c>
      <c r="F185" s="7"/>
      <c r="G185" s="7"/>
      <c r="H185" s="7"/>
      <c r="I185" s="7"/>
      <c r="J185" s="7"/>
      <c r="K185" s="7"/>
      <c r="L185" s="7" t="str">
        <f aca="false">IF(B185="","",ROUND(MAX(0,30-ABS(E185-7.5)*10)+MAX(0,20-ABS(F185-20)*2)+MAX(0,15-ABS(G185-22)*1.5)+MAX(0,10-ABS(H185-52)/2)+IF(I185="","",MAX(0,10-MAX(0,I185-5)*2))+IF(J185="yes",10,IF(J185="manual",5,0))+MIN(5,K185*0.5),0))</f>
        <v/>
      </c>
    </row>
    <row r="186" customFormat="false" ht="15" hidden="false" customHeight="false" outlineLevel="0" collapsed="false">
      <c r="A186" s="8"/>
      <c r="B186" s="8"/>
      <c r="C186" s="8"/>
      <c r="D186" s="8"/>
      <c r="E186" s="8" t="str">
        <f aca="false">IF(AND(C186&lt;&gt;"",D186&lt;&gt;""),IF(TIMEVALUE(D186)&gt;TIMEVALUE(C186),(TIMEVALUE(D186)-TIMEVALUE(C186))*24,(1-TIMEVALUE(C186)+TIMEVALUE(D186))*24),"")</f>
        <v/>
      </c>
      <c r="F186" s="8"/>
      <c r="G186" s="8"/>
      <c r="H186" s="8"/>
      <c r="I186" s="8"/>
      <c r="J186" s="8"/>
      <c r="K186" s="8"/>
      <c r="L186" s="8" t="str">
        <f aca="false">IF(B186="","",ROUND(MAX(0,30-ABS(E186-7.5)*10)+MAX(0,20-ABS(F186-20)*2)+MAX(0,15-ABS(G186-22)*1.5)+MAX(0,10-ABS(H186-52)/2)+IF(I186="","",MAX(0,10-MAX(0,I186-5)*2))+IF(J186="yes",10,IF(J186="manual",5,0))+MIN(5,K186*0.5),0))</f>
        <v/>
      </c>
    </row>
    <row r="187" customFormat="false" ht="15" hidden="false" customHeight="false" outlineLevel="0" collapsed="false">
      <c r="A187" s="7"/>
      <c r="B187" s="7"/>
      <c r="C187" s="7"/>
      <c r="D187" s="7"/>
      <c r="E187" s="7" t="str">
        <f aca="false">IF(AND(C187&lt;&gt;"",D187&lt;&gt;""),IF(TIMEVALUE(D187)&gt;TIMEVALUE(C187),(TIMEVALUE(D187)-TIMEVALUE(C187))*24,(1-TIMEVALUE(C187)+TIMEVALUE(D187))*24),"")</f>
        <v/>
      </c>
      <c r="F187" s="7"/>
      <c r="G187" s="7"/>
      <c r="H187" s="7"/>
      <c r="I187" s="7"/>
      <c r="J187" s="7"/>
      <c r="K187" s="7"/>
      <c r="L187" s="7" t="str">
        <f aca="false">IF(B187="","",ROUND(MAX(0,30-ABS(E187-7.5)*10)+MAX(0,20-ABS(F187-20)*2)+MAX(0,15-ABS(G187-22)*1.5)+MAX(0,10-ABS(H187-52)/2)+IF(I187="","",MAX(0,10-MAX(0,I187-5)*2))+IF(J187="yes",10,IF(J187="manual",5,0))+MIN(5,K187*0.5),0))</f>
        <v/>
      </c>
    </row>
    <row r="188" customFormat="false" ht="15" hidden="false" customHeight="false" outlineLevel="0" collapsed="false">
      <c r="A188" s="8"/>
      <c r="B188" s="8"/>
      <c r="C188" s="8"/>
      <c r="D188" s="8"/>
      <c r="E188" s="8" t="str">
        <f aca="false">IF(AND(C188&lt;&gt;"",D188&lt;&gt;""),IF(TIMEVALUE(D188)&gt;TIMEVALUE(C188),(TIMEVALUE(D188)-TIMEVALUE(C188))*24,(1-TIMEVALUE(C188)+TIMEVALUE(D188))*24),"")</f>
        <v/>
      </c>
      <c r="F188" s="8"/>
      <c r="G188" s="8"/>
      <c r="H188" s="8"/>
      <c r="I188" s="8"/>
      <c r="J188" s="8"/>
      <c r="K188" s="8"/>
      <c r="L188" s="8" t="str">
        <f aca="false">IF(B188="","",ROUND(MAX(0,30-ABS(E188-7.5)*10)+MAX(0,20-ABS(F188-20)*2)+MAX(0,15-ABS(G188-22)*1.5)+MAX(0,10-ABS(H188-52)/2)+IF(I188="","",MAX(0,10-MAX(0,I188-5)*2))+IF(J188="yes",10,IF(J188="manual",5,0))+MIN(5,K188*0.5),0))</f>
        <v/>
      </c>
    </row>
    <row r="189" customFormat="false" ht="15" hidden="false" customHeight="false" outlineLevel="0" collapsed="false">
      <c r="A189" s="7"/>
      <c r="B189" s="7"/>
      <c r="C189" s="7"/>
      <c r="D189" s="7"/>
      <c r="E189" s="7" t="str">
        <f aca="false">IF(AND(C189&lt;&gt;"",D189&lt;&gt;""),IF(TIMEVALUE(D189)&gt;TIMEVALUE(C189),(TIMEVALUE(D189)-TIMEVALUE(C189))*24,(1-TIMEVALUE(C189)+TIMEVALUE(D189))*24),"")</f>
        <v/>
      </c>
      <c r="F189" s="7"/>
      <c r="G189" s="7"/>
      <c r="H189" s="7"/>
      <c r="I189" s="7"/>
      <c r="J189" s="7"/>
      <c r="K189" s="7"/>
      <c r="L189" s="7" t="str">
        <f aca="false">IF(B189="","",ROUND(MAX(0,30-ABS(E189-7.5)*10)+MAX(0,20-ABS(F189-20)*2)+MAX(0,15-ABS(G189-22)*1.5)+MAX(0,10-ABS(H189-52)/2)+IF(I189="","",MAX(0,10-MAX(0,I189-5)*2))+IF(J189="yes",10,IF(J189="manual",5,0))+MIN(5,K189*0.5),0))</f>
        <v/>
      </c>
    </row>
    <row r="190" customFormat="false" ht="15" hidden="false" customHeight="false" outlineLevel="0" collapsed="false">
      <c r="A190" s="8"/>
      <c r="B190" s="8"/>
      <c r="C190" s="8"/>
      <c r="D190" s="8"/>
      <c r="E190" s="8" t="str">
        <f aca="false">IF(AND(C190&lt;&gt;"",D190&lt;&gt;""),IF(TIMEVALUE(D190)&gt;TIMEVALUE(C190),(TIMEVALUE(D190)-TIMEVALUE(C190))*24,(1-TIMEVALUE(C190)+TIMEVALUE(D190))*24),"")</f>
        <v/>
      </c>
      <c r="F190" s="8"/>
      <c r="G190" s="8"/>
      <c r="H190" s="8"/>
      <c r="I190" s="8"/>
      <c r="J190" s="8"/>
      <c r="K190" s="8"/>
      <c r="L190" s="8" t="str">
        <f aca="false">IF(B190="","",ROUND(MAX(0,30-ABS(E190-7.5)*10)+MAX(0,20-ABS(F190-20)*2)+MAX(0,15-ABS(G190-22)*1.5)+MAX(0,10-ABS(H190-52)/2)+IF(I190="","",MAX(0,10-MAX(0,I190-5)*2))+IF(J190="yes",10,IF(J190="manual",5,0))+MIN(5,K190*0.5),0))</f>
        <v/>
      </c>
    </row>
    <row r="191" customFormat="false" ht="15" hidden="false" customHeight="false" outlineLevel="0" collapsed="false">
      <c r="A191" s="7"/>
      <c r="B191" s="7"/>
      <c r="C191" s="7"/>
      <c r="D191" s="7"/>
      <c r="E191" s="7" t="str">
        <f aca="false">IF(AND(C191&lt;&gt;"",D191&lt;&gt;""),IF(TIMEVALUE(D191)&gt;TIMEVALUE(C191),(TIMEVALUE(D191)-TIMEVALUE(C191))*24,(1-TIMEVALUE(C191)+TIMEVALUE(D191))*24),"")</f>
        <v/>
      </c>
      <c r="F191" s="7"/>
      <c r="G191" s="7"/>
      <c r="H191" s="7"/>
      <c r="I191" s="7"/>
      <c r="J191" s="7"/>
      <c r="K191" s="7"/>
      <c r="L191" s="7" t="str">
        <f aca="false">IF(B191="","",ROUND(MAX(0,30-ABS(E191-7.5)*10)+MAX(0,20-ABS(F191-20)*2)+MAX(0,15-ABS(G191-22)*1.5)+MAX(0,10-ABS(H191-52)/2)+IF(I191="","",MAX(0,10-MAX(0,I191-5)*2))+IF(J191="yes",10,IF(J191="manual",5,0))+MIN(5,K191*0.5),0))</f>
        <v/>
      </c>
    </row>
    <row r="192" customFormat="false" ht="15" hidden="false" customHeight="false" outlineLevel="0" collapsed="false">
      <c r="A192" s="8"/>
      <c r="B192" s="8"/>
      <c r="C192" s="8"/>
      <c r="D192" s="8"/>
      <c r="E192" s="8" t="str">
        <f aca="false">IF(AND(C192&lt;&gt;"",D192&lt;&gt;""),IF(TIMEVALUE(D192)&gt;TIMEVALUE(C192),(TIMEVALUE(D192)-TIMEVALUE(C192))*24,(1-TIMEVALUE(C192)+TIMEVALUE(D192))*24),"")</f>
        <v/>
      </c>
      <c r="F192" s="8"/>
      <c r="G192" s="8"/>
      <c r="H192" s="8"/>
      <c r="I192" s="8"/>
      <c r="J192" s="8"/>
      <c r="K192" s="8"/>
      <c r="L192" s="8" t="str">
        <f aca="false">IF(B192="","",ROUND(MAX(0,30-ABS(E192-7.5)*10)+MAX(0,20-ABS(F192-20)*2)+MAX(0,15-ABS(G192-22)*1.5)+MAX(0,10-ABS(H192-52)/2)+IF(I192="","",MAX(0,10-MAX(0,I192-5)*2))+IF(J192="yes",10,IF(J192="manual",5,0))+MIN(5,K192*0.5),0))</f>
        <v/>
      </c>
    </row>
    <row r="193" customFormat="false" ht="15" hidden="false" customHeight="false" outlineLevel="0" collapsed="false">
      <c r="A193" s="7"/>
      <c r="B193" s="7"/>
      <c r="C193" s="7"/>
      <c r="D193" s="7"/>
      <c r="E193" s="7" t="str">
        <f aca="false">IF(AND(C193&lt;&gt;"",D193&lt;&gt;""),IF(TIMEVALUE(D193)&gt;TIMEVALUE(C193),(TIMEVALUE(D193)-TIMEVALUE(C193))*24,(1-TIMEVALUE(C193)+TIMEVALUE(D193))*24),"")</f>
        <v/>
      </c>
      <c r="F193" s="7"/>
      <c r="G193" s="7"/>
      <c r="H193" s="7"/>
      <c r="I193" s="7"/>
      <c r="J193" s="7"/>
      <c r="K193" s="7"/>
      <c r="L193" s="7" t="str">
        <f aca="false">IF(B193="","",ROUND(MAX(0,30-ABS(E193-7.5)*10)+MAX(0,20-ABS(F193-20)*2)+MAX(0,15-ABS(G193-22)*1.5)+MAX(0,10-ABS(H193-52)/2)+IF(I193="","",MAX(0,10-MAX(0,I193-5)*2))+IF(J193="yes",10,IF(J193="manual",5,0))+MIN(5,K193*0.5),0))</f>
        <v/>
      </c>
    </row>
    <row r="194" customFormat="false" ht="15" hidden="false" customHeight="false" outlineLevel="0" collapsed="false">
      <c r="A194" s="8"/>
      <c r="B194" s="8"/>
      <c r="C194" s="8"/>
      <c r="D194" s="8"/>
      <c r="E194" s="8" t="str">
        <f aca="false">IF(AND(C194&lt;&gt;"",D194&lt;&gt;""),IF(TIMEVALUE(D194)&gt;TIMEVALUE(C194),(TIMEVALUE(D194)-TIMEVALUE(C194))*24,(1-TIMEVALUE(C194)+TIMEVALUE(D194))*24),"")</f>
        <v/>
      </c>
      <c r="F194" s="8"/>
      <c r="G194" s="8"/>
      <c r="H194" s="8"/>
      <c r="I194" s="8"/>
      <c r="J194" s="8"/>
      <c r="K194" s="8"/>
      <c r="L194" s="8" t="str">
        <f aca="false">IF(B194="","",ROUND(MAX(0,30-ABS(E194-7.5)*10)+MAX(0,20-ABS(F194-20)*2)+MAX(0,15-ABS(G194-22)*1.5)+MAX(0,10-ABS(H194-52)/2)+IF(I194="","",MAX(0,10-MAX(0,I194-5)*2))+IF(J194="yes",10,IF(J194="manual",5,0))+MIN(5,K194*0.5),0))</f>
        <v/>
      </c>
    </row>
    <row r="195" customFormat="false" ht="15" hidden="false" customHeight="false" outlineLevel="0" collapsed="false">
      <c r="A195" s="7"/>
      <c r="B195" s="7"/>
      <c r="C195" s="7"/>
      <c r="D195" s="7"/>
      <c r="E195" s="7" t="str">
        <f aca="false">IF(AND(C195&lt;&gt;"",D195&lt;&gt;""),IF(TIMEVALUE(D195)&gt;TIMEVALUE(C195),(TIMEVALUE(D195)-TIMEVALUE(C195))*24,(1-TIMEVALUE(C195)+TIMEVALUE(D195))*24),"")</f>
        <v/>
      </c>
      <c r="F195" s="7"/>
      <c r="G195" s="7"/>
      <c r="H195" s="7"/>
      <c r="I195" s="7"/>
      <c r="J195" s="7"/>
      <c r="K195" s="7"/>
      <c r="L195" s="7" t="str">
        <f aca="false">IF(B195="","",ROUND(MAX(0,30-ABS(E195-7.5)*10)+MAX(0,20-ABS(F195-20)*2)+MAX(0,15-ABS(G195-22)*1.5)+MAX(0,10-ABS(H195-52)/2)+IF(I195="","",MAX(0,10-MAX(0,I195-5)*2))+IF(J195="yes",10,IF(J195="manual",5,0))+MIN(5,K195*0.5),0))</f>
        <v/>
      </c>
    </row>
    <row r="196" customFormat="false" ht="15" hidden="false" customHeight="false" outlineLevel="0" collapsed="false">
      <c r="A196" s="8"/>
      <c r="B196" s="8"/>
      <c r="C196" s="8"/>
      <c r="D196" s="8"/>
      <c r="E196" s="8" t="str">
        <f aca="false">IF(AND(C196&lt;&gt;"",D196&lt;&gt;""),IF(TIMEVALUE(D196)&gt;TIMEVALUE(C196),(TIMEVALUE(D196)-TIMEVALUE(C196))*24,(1-TIMEVALUE(C196)+TIMEVALUE(D196))*24),"")</f>
        <v/>
      </c>
      <c r="F196" s="8"/>
      <c r="G196" s="8"/>
      <c r="H196" s="8"/>
      <c r="I196" s="8"/>
      <c r="J196" s="8"/>
      <c r="K196" s="8"/>
      <c r="L196" s="8" t="str">
        <f aca="false">IF(B196="","",ROUND(MAX(0,30-ABS(E196-7.5)*10)+MAX(0,20-ABS(F196-20)*2)+MAX(0,15-ABS(G196-22)*1.5)+MAX(0,10-ABS(H196-52)/2)+IF(I196="","",MAX(0,10-MAX(0,I196-5)*2))+IF(J196="yes",10,IF(J196="manual",5,0))+MIN(5,K196*0.5),0))</f>
        <v/>
      </c>
    </row>
    <row r="197" customFormat="false" ht="15" hidden="false" customHeight="false" outlineLevel="0" collapsed="false">
      <c r="A197" s="7"/>
      <c r="B197" s="7"/>
      <c r="C197" s="7"/>
      <c r="D197" s="7"/>
      <c r="E197" s="7" t="str">
        <f aca="false">IF(AND(C197&lt;&gt;"",D197&lt;&gt;""),IF(TIMEVALUE(D197)&gt;TIMEVALUE(C197),(TIMEVALUE(D197)-TIMEVALUE(C197))*24,(1-TIMEVALUE(C197)+TIMEVALUE(D197))*24),"")</f>
        <v/>
      </c>
      <c r="F197" s="7"/>
      <c r="G197" s="7"/>
      <c r="H197" s="7"/>
      <c r="I197" s="7"/>
      <c r="J197" s="7"/>
      <c r="K197" s="7"/>
      <c r="L197" s="7" t="str">
        <f aca="false">IF(B197="","",ROUND(MAX(0,30-ABS(E197-7.5)*10)+MAX(0,20-ABS(F197-20)*2)+MAX(0,15-ABS(G197-22)*1.5)+MAX(0,10-ABS(H197-52)/2)+IF(I197="","",MAX(0,10-MAX(0,I197-5)*2))+IF(J197="yes",10,IF(J197="manual",5,0))+MIN(5,K197*0.5),0))</f>
        <v/>
      </c>
    </row>
    <row r="198" customFormat="false" ht="15" hidden="false" customHeight="false" outlineLevel="0" collapsed="false">
      <c r="A198" s="8"/>
      <c r="B198" s="8"/>
      <c r="C198" s="8"/>
      <c r="D198" s="8"/>
      <c r="E198" s="8" t="str">
        <f aca="false">IF(AND(C198&lt;&gt;"",D198&lt;&gt;""),IF(TIMEVALUE(D198)&gt;TIMEVALUE(C198),(TIMEVALUE(D198)-TIMEVALUE(C198))*24,(1-TIMEVALUE(C198)+TIMEVALUE(D198))*24),"")</f>
        <v/>
      </c>
      <c r="F198" s="8"/>
      <c r="G198" s="8"/>
      <c r="H198" s="8"/>
      <c r="I198" s="8"/>
      <c r="J198" s="8"/>
      <c r="K198" s="8"/>
      <c r="L198" s="8" t="str">
        <f aca="false">IF(B198="","",ROUND(MAX(0,30-ABS(E198-7.5)*10)+MAX(0,20-ABS(F198-20)*2)+MAX(0,15-ABS(G198-22)*1.5)+MAX(0,10-ABS(H198-52)/2)+IF(I198="","",MAX(0,10-MAX(0,I198-5)*2))+IF(J198="yes",10,IF(J198="manual",5,0))+MIN(5,K198*0.5),0))</f>
        <v/>
      </c>
    </row>
    <row r="199" customFormat="false" ht="15" hidden="false" customHeight="false" outlineLevel="0" collapsed="false">
      <c r="A199" s="7"/>
      <c r="B199" s="7"/>
      <c r="C199" s="7"/>
      <c r="D199" s="7"/>
      <c r="E199" s="7" t="str">
        <f aca="false">IF(AND(C199&lt;&gt;"",D199&lt;&gt;""),IF(TIMEVALUE(D199)&gt;TIMEVALUE(C199),(TIMEVALUE(D199)-TIMEVALUE(C199))*24,(1-TIMEVALUE(C199)+TIMEVALUE(D199))*24),"")</f>
        <v/>
      </c>
      <c r="F199" s="7"/>
      <c r="G199" s="7"/>
      <c r="H199" s="7"/>
      <c r="I199" s="7"/>
      <c r="J199" s="7"/>
      <c r="K199" s="7"/>
      <c r="L199" s="7" t="str">
        <f aca="false">IF(B199="","",ROUND(MAX(0,30-ABS(E199-7.5)*10)+MAX(0,20-ABS(F199-20)*2)+MAX(0,15-ABS(G199-22)*1.5)+MAX(0,10-ABS(H199-52)/2)+IF(I199="","",MAX(0,10-MAX(0,I199-5)*2))+IF(J199="yes",10,IF(J199="manual",5,0))+MIN(5,K199*0.5),0))</f>
        <v/>
      </c>
    </row>
    <row r="200" customFormat="false" ht="15" hidden="false" customHeight="false" outlineLevel="0" collapsed="false">
      <c r="A200" s="8"/>
      <c r="B200" s="8"/>
      <c r="C200" s="8"/>
      <c r="D200" s="8"/>
      <c r="E200" s="8" t="str">
        <f aca="false">IF(AND(C200&lt;&gt;"",D200&lt;&gt;""),IF(TIMEVALUE(D200)&gt;TIMEVALUE(C200),(TIMEVALUE(D200)-TIMEVALUE(C200))*24,(1-TIMEVALUE(C200)+TIMEVALUE(D200))*24),"")</f>
        <v/>
      </c>
      <c r="F200" s="8"/>
      <c r="G200" s="8"/>
      <c r="H200" s="8"/>
      <c r="I200" s="8"/>
      <c r="J200" s="8"/>
      <c r="K200" s="8"/>
      <c r="L200" s="8" t="str">
        <f aca="false">IF(B200="","",ROUND(MAX(0,30-ABS(E200-7.5)*10)+MAX(0,20-ABS(F200-20)*2)+MAX(0,15-ABS(G200-22)*1.5)+MAX(0,10-ABS(H200-52)/2)+IF(I200="","",MAX(0,10-MAX(0,I200-5)*2))+IF(J200="yes",10,IF(J200="manual",5,0))+MIN(5,K200*0.5),0))</f>
        <v/>
      </c>
    </row>
  </sheetData>
  <mergeCells count="1">
    <mergeCell ref="A1:L1"/>
  </mergeCells>
  <conditionalFormatting sqref="L3:L200">
    <cfRule type="colorScale" priority="2">
      <colorScale>
        <cfvo type="num" val="0"/>
        <cfvo type="num" val="60"/>
        <cfvo type="num" val="100"/>
        <color rgb="FFFF5F6D"/>
        <color rgb="FFFF9D4D"/>
        <color rgb="FF00F5A0"/>
      </colorScale>
    </cfRule>
  </conditionalFormatting>
  <dataValidations count="2">
    <dataValidation allowBlank="false" errorStyle="stop" operator="between" showDropDown="false" showErrorMessage="false" showInputMessage="false" sqref="B3:B200" type="list">
      <formula1>"Joey,Dad"</formula1>
      <formula2>0</formula2>
    </dataValidation>
    <dataValidation allowBlank="false" errorStyle="stop" operator="between" showDropDown="false" showErrorMessage="false" showInputMessage="false" sqref="J3:J200" type="list">
      <formula1>"yes,manual,no"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G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4"/>
  </cols>
  <sheetData>
    <row r="1" customFormat="false" ht="39.75" hidden="false" customHeight="true" outlineLevel="0" collapsed="false">
      <c r="A1" s="9" t="s">
        <v>22</v>
      </c>
      <c r="B1" s="9"/>
      <c r="C1" s="9"/>
      <c r="D1" s="9"/>
      <c r="E1" s="9"/>
      <c r="F1" s="9"/>
      <c r="G1" s="9"/>
    </row>
    <row r="2" customFormat="false" ht="19.5" hidden="false" customHeight="true" outlineLevel="0" collapsed="false">
      <c r="A2" s="10" t="s">
        <v>2</v>
      </c>
      <c r="B2" s="10" t="s">
        <v>23</v>
      </c>
      <c r="C2" s="10" t="s">
        <v>24</v>
      </c>
      <c r="D2" s="10" t="s">
        <v>25</v>
      </c>
      <c r="E2" s="10" t="s">
        <v>26</v>
      </c>
      <c r="F2" s="10" t="s">
        <v>27</v>
      </c>
      <c r="G2" s="10" t="s">
        <v>28</v>
      </c>
    </row>
    <row r="3" customFormat="false" ht="15" hidden="false" customHeight="false" outlineLevel="0" collapsed="false">
      <c r="A3" s="11" t="s">
        <v>14</v>
      </c>
      <c r="B3" s="12" t="n">
        <f aca="false">IFERROR(AVERAGEIF('📋 LOG'!B3:B200,A3,'📋 LOG'!L3:L200),"-")</f>
        <v>88</v>
      </c>
      <c r="C3" s="13" t="str">
        <f aca="false">IFERROR(maxifs('📋 LOG'!L3:L200,'📋 LOG'!B3:B200,A3),"-")</f>
        <v>-</v>
      </c>
      <c r="D3" s="13" t="str">
        <f aca="false">IFERROR(minifs('📋 LOG'!L3:L200,'📋 LOG'!B3:B200,A3,'📋 LOG'!L3:L200,"&gt;"&amp;0),"-")</f>
        <v>-</v>
      </c>
      <c r="E3" s="13" t="n">
        <f aca="false">IFERROR(COUNTIF('📋 LOG'!B3:B200,A3),0)</f>
        <v>1</v>
      </c>
      <c r="F3" s="13" t="n">
        <f aca="false">IFERROR(AVERAGEIF('📋 LOG'!B3:B200,A3,'📋 LOG'!F3:F200),"-")</f>
        <v>21</v>
      </c>
      <c r="G3" s="13" t="n">
        <f aca="false">IFERROR(AVERAGEIF('📋 LOG'!B3:B200,A3,'📋 LOG'!G3:G200),"-")</f>
        <v>23</v>
      </c>
    </row>
    <row r="4" customFormat="false" ht="15" hidden="false" customHeight="false" outlineLevel="0" collapsed="false">
      <c r="A4" s="14" t="s">
        <v>19</v>
      </c>
      <c r="B4" s="15" t="n">
        <f aca="false">IFERROR(AVERAGEIF('📋 LOG'!B3:B200,A4,'📋 LOG'!L3:L200),"-")</f>
        <v>81</v>
      </c>
      <c r="C4" s="16" t="str">
        <f aca="false">IFERROR(maxifs('📋 LOG'!L3:L200,'📋 LOG'!B3:B200,A4),"-")</f>
        <v>-</v>
      </c>
      <c r="D4" s="16" t="str">
        <f aca="false">IFERROR(minifs('📋 LOG'!L3:L200,'📋 LOG'!B3:B200,A4,'📋 LOG'!L3:L200,"&gt;"&amp;0),"-")</f>
        <v>-</v>
      </c>
      <c r="E4" s="16" t="n">
        <f aca="false">IFERROR(COUNTIF('📋 LOG'!B3:B200,A4),0)</f>
        <v>1</v>
      </c>
      <c r="F4" s="16" t="n">
        <f aca="false">IFERROR(AVERAGEIF('📋 LOG'!B3:B200,A4,'📋 LOG'!F3:F200),"-")</f>
        <v>18</v>
      </c>
      <c r="G4" s="16" t="n">
        <f aca="false">IFERROR(AVERAGEIF('📋 LOG'!B3:B200,A4,'📋 LOG'!G3:G200),"-")</f>
        <v>20</v>
      </c>
    </row>
  </sheetData>
  <mergeCells count="1">
    <mergeCell ref="A1:G1"/>
  </mergeCells>
  <conditionalFormatting sqref="B3:B4">
    <cfRule type="colorScale" priority="2">
      <colorScale>
        <cfvo type="num" val="0"/>
        <cfvo type="num" val="60"/>
        <cfvo type="num" val="100"/>
        <color rgb="FFFF5F6D"/>
        <color rgb="FFFF9D4D"/>
        <color rgb="FF00F5A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5566"/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36"/>
  </cols>
  <sheetData>
    <row r="1" customFormat="false" ht="36" hidden="false" customHeight="true" outlineLevel="0" collapsed="false">
      <c r="A1" s="17" t="s">
        <v>29</v>
      </c>
      <c r="B1" s="17"/>
      <c r="C1" s="17"/>
    </row>
    <row r="2" customFormat="false" ht="21.75" hidden="false" customHeight="true" outlineLevel="0" collapsed="false">
      <c r="A2" s="18" t="s">
        <v>30</v>
      </c>
      <c r="B2" s="19" t="s">
        <v>31</v>
      </c>
      <c r="C2" s="18" t="s">
        <v>32</v>
      </c>
    </row>
    <row r="3" customFormat="false" ht="21.75" hidden="false" customHeight="true" outlineLevel="0" collapsed="false">
      <c r="A3" s="20" t="s">
        <v>33</v>
      </c>
      <c r="B3" s="21" t="n">
        <v>30</v>
      </c>
      <c r="C3" s="20" t="s">
        <v>34</v>
      </c>
    </row>
    <row r="4" customFormat="false" ht="21.75" hidden="false" customHeight="true" outlineLevel="0" collapsed="false">
      <c r="A4" s="22" t="s">
        <v>35</v>
      </c>
      <c r="B4" s="23" t="n">
        <v>20</v>
      </c>
      <c r="C4" s="22" t="s">
        <v>36</v>
      </c>
    </row>
    <row r="5" customFormat="false" ht="21.75" hidden="false" customHeight="true" outlineLevel="0" collapsed="false">
      <c r="A5" s="20" t="s">
        <v>37</v>
      </c>
      <c r="B5" s="21" t="n">
        <v>15</v>
      </c>
      <c r="C5" s="20" t="s">
        <v>38</v>
      </c>
    </row>
    <row r="6" customFormat="false" ht="21.75" hidden="false" customHeight="true" outlineLevel="0" collapsed="false">
      <c r="A6" s="22" t="s">
        <v>39</v>
      </c>
      <c r="B6" s="23" t="n">
        <v>10</v>
      </c>
      <c r="C6" s="22" t="s">
        <v>40</v>
      </c>
    </row>
    <row r="7" customFormat="false" ht="21.75" hidden="false" customHeight="true" outlineLevel="0" collapsed="false">
      <c r="A7" s="20" t="s">
        <v>41</v>
      </c>
      <c r="B7" s="21" t="n">
        <v>10</v>
      </c>
      <c r="C7" s="20" t="s">
        <v>42</v>
      </c>
    </row>
    <row r="8" customFormat="false" ht="21.75" hidden="false" customHeight="true" outlineLevel="0" collapsed="false">
      <c r="A8" s="22" t="s">
        <v>43</v>
      </c>
      <c r="B8" s="23" t="n">
        <v>10</v>
      </c>
      <c r="C8" s="22" t="s">
        <v>44</v>
      </c>
    </row>
    <row r="9" customFormat="false" ht="21.75" hidden="false" customHeight="true" outlineLevel="0" collapsed="false">
      <c r="A9" s="20" t="s">
        <v>45</v>
      </c>
      <c r="B9" s="21" t="n">
        <v>5</v>
      </c>
      <c r="C9" s="20" t="s">
        <v>46</v>
      </c>
    </row>
    <row r="10" customFormat="false" ht="21.75" hidden="false" customHeight="true" outlineLevel="0" collapsed="false">
      <c r="A10" s="18" t="s">
        <v>47</v>
      </c>
      <c r="B10" s="19" t="n">
        <v>100</v>
      </c>
      <c r="C10" s="18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D4D"/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</cols>
  <sheetData>
    <row r="1" customFormat="false" ht="36" hidden="false" customHeight="true" outlineLevel="0" collapsed="false">
      <c r="A1" s="24" t="s">
        <v>48</v>
      </c>
      <c r="B1" s="24"/>
    </row>
    <row r="3" customFormat="false" ht="25.5" hidden="false" customHeight="true" outlineLevel="0" collapsed="false">
      <c r="A3" s="25" t="s">
        <v>49</v>
      </c>
      <c r="B3" s="20" t="s">
        <v>50</v>
      </c>
    </row>
    <row r="4" customFormat="false" ht="25.5" hidden="false" customHeight="true" outlineLevel="0" collapsed="false">
      <c r="A4" s="26" t="s">
        <v>51</v>
      </c>
      <c r="B4" s="22" t="s">
        <v>52</v>
      </c>
    </row>
    <row r="5" customFormat="false" ht="25.5" hidden="false" customHeight="true" outlineLevel="0" collapsed="false">
      <c r="A5" s="25" t="s">
        <v>53</v>
      </c>
      <c r="B5" s="20" t="s">
        <v>54</v>
      </c>
    </row>
    <row r="6" customFormat="false" ht="25.5" hidden="false" customHeight="true" outlineLevel="0" collapsed="false">
      <c r="A6" s="26" t="s">
        <v>55</v>
      </c>
      <c r="B6" s="22" t="s">
        <v>56</v>
      </c>
    </row>
    <row r="7" customFormat="false" ht="25.5" hidden="false" customHeight="true" outlineLevel="0" collapsed="false">
      <c r="A7" s="25" t="s">
        <v>57</v>
      </c>
      <c r="B7" s="20" t="s">
        <v>58</v>
      </c>
    </row>
    <row r="8" customFormat="false" ht="25.5" hidden="false" customHeight="true" outlineLevel="0" collapsed="false">
      <c r="A8" s="26" t="s">
        <v>59</v>
      </c>
      <c r="B8" s="22" t="s">
        <v>60</v>
      </c>
    </row>
    <row r="9" customFormat="false" ht="25.5" hidden="false" customHeight="true" outlineLevel="0" collapsed="false">
      <c r="A9" s="25" t="s">
        <v>61</v>
      </c>
      <c r="B9" s="20" t="s">
        <v>62</v>
      </c>
    </row>
    <row r="10" customFormat="false" ht="25.5" hidden="false" customHeight="true" outlineLevel="0" collapsed="false">
      <c r="A10" s="26" t="s">
        <v>63</v>
      </c>
      <c r="B10" s="22" t="s">
        <v>64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2026-04-24T13:53:46Z</dcterms:created>
  <dc:creator>openpyxl</dc:creator>
  <dc:description/>
  <dc:language>en-US</dc:language>
  <cp:lastModifiedBy/>
  <dcterms:modified xsi:type="dcterms:W3CDTF">2026-04-24T13:53:46Z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